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1">
      <go:sheetsCustomData xmlns:go="http://customooxmlschemas.google.com/" r:id="rId7" roundtripDataSignature="AMtx7mg+0ceungB8RK4i5oWljBPf/m6hBA=="/>
    </ext>
  </extLst>
</workbook>
</file>

<file path=xl/sharedStrings.xml><?xml version="1.0" encoding="utf-8"?>
<sst xmlns="http://schemas.openxmlformats.org/spreadsheetml/2006/main" count="11" uniqueCount="10">
  <si>
    <t>YEARS</t>
  </si>
  <si>
    <t>PAYMENT</t>
  </si>
  <si>
    <t>SALE PRICE</t>
  </si>
  <si>
    <t>annual r</t>
  </si>
  <si>
    <t>PV</t>
  </si>
  <si>
    <t>IRR</t>
  </si>
  <si>
    <t>Direct Cap Approach:</t>
  </si>
  <si>
    <t>"value if required "INITIAL" return =&gt; direct cap or year 1 cap</t>
  </si>
  <si>
    <t>Present Value at 12%</t>
  </si>
  <si>
    <t>Net Present Value at 12%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</si>
</sst>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_);[Red]\(&quot;$&quot;#,##0.00\)"/>
    <numFmt numFmtId="165" formatCode="&quot;$&quot;#,##0.00"/>
  </numFmts>
  <fonts count="2">
    <font>
      <sz val="11.0"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0" xfId="0" applyFont="1" applyNumberFormat="1"/>
    <xf borderId="1" fillId="2" fontId="1" numFmtId="0" xfId="0" applyAlignment="1" applyBorder="1" applyFill="1" applyFont="1">
      <alignment horizontal="right"/>
    </xf>
    <xf borderId="1" fillId="2" fontId="1" numFmtId="165" xfId="0" applyBorder="1" applyFont="1" applyNumberFormat="1"/>
    <xf borderId="1" fillId="2" fontId="1" numFmtId="164" xfId="0" applyBorder="1" applyFont="1" applyNumberFormat="1"/>
    <xf borderId="1" fillId="2" fontId="1" numFmtId="0" xfId="0" applyBorder="1" applyFont="1"/>
    <xf borderId="1" fillId="2" fontId="1" numFmtId="10" xfId="0" applyBorder="1" applyFont="1" applyNumberForma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2</xdr:row>
      <xdr:rowOff>161925</xdr:rowOff>
    </xdr:from>
    <xdr:ext cx="12801600" cy="2000250"/>
    <xdr:sp>
      <xdr:nvSpPr>
        <xdr:cNvPr id="3" name="Shape 3"/>
        <xdr:cNvSpPr txBox="1"/>
      </xdr:nvSpPr>
      <xdr:spPr>
        <a:xfrm>
          <a:off x="0" y="2784638"/>
          <a:ext cx="10692000" cy="19907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The FV function syntax has the following arguments: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Rate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   Required. The interest rate per period.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Nper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   Required. The total number of payment periods in an annuity.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Pmt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   Required. The payment made each period; it cannot change over the life of the annuity. Typically, pmt contains principal and interest but no other fees or taxes. If pmt is omitted, you must include the pv argument.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Pv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   Optional. The present value, or the lump-sum amount that a series of future payments is worth right now. If pv is omitted, it is assumed to be 0 (zero), and you must include the pmt argument.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Type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   Optional. The number 0 or 1 and indicates when payments are due. If type is omitted, it is assumed to be 0.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Set type equal to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b="1"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If payments are due</a:t>
          </a: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0: At the end of the period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1: At the beginning of the period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14"/>
    <col customWidth="1" min="3" max="3" width="13.0"/>
    <col customWidth="1" min="4" max="10" width="8.71"/>
    <col customWidth="1" min="11" max="11" width="10.57"/>
    <col customWidth="1" min="12" max="38" width="8.71"/>
  </cols>
  <sheetData>
    <row r="1" ht="14.25" customHeight="1">
      <c r="A1" s="1" t="s">
        <v>0</v>
      </c>
      <c r="B1" s="1" t="s">
        <v>1</v>
      </c>
      <c r="C1" s="1" t="s">
        <v>2</v>
      </c>
      <c r="E1" s="1" t="s">
        <v>3</v>
      </c>
      <c r="F1" s="1">
        <v>12.0</v>
      </c>
    </row>
    <row r="2" ht="14.25" customHeight="1">
      <c r="A2" s="1">
        <v>1.0</v>
      </c>
      <c r="B2" s="1">
        <v>50000.0</v>
      </c>
    </row>
    <row r="3" ht="14.25" customHeight="1">
      <c r="A3" s="1">
        <v>2.0</v>
      </c>
      <c r="B3" s="1">
        <v>50000.0</v>
      </c>
    </row>
    <row r="4" ht="14.25" customHeight="1">
      <c r="A4" s="1">
        <f t="shared" ref="A4:A11" si="1">A3+1</f>
        <v>3</v>
      </c>
      <c r="B4" s="1">
        <v>50000.0</v>
      </c>
      <c r="J4" s="1" t="s">
        <v>4</v>
      </c>
      <c r="K4" s="2">
        <f>PV(F1,10,B2:B11,C11,0)</f>
        <v>-4166.666696</v>
      </c>
    </row>
    <row r="5" ht="14.25" customHeight="1">
      <c r="A5" s="1">
        <f t="shared" si="1"/>
        <v>4</v>
      </c>
      <c r="B5" s="1">
        <v>50000.0</v>
      </c>
    </row>
    <row r="6" ht="14.25" customHeight="1">
      <c r="A6" s="1">
        <f t="shared" si="1"/>
        <v>5</v>
      </c>
      <c r="B6" s="1">
        <v>50000.0</v>
      </c>
    </row>
    <row r="7" ht="14.25" customHeight="1">
      <c r="A7" s="1">
        <f t="shared" si="1"/>
        <v>6</v>
      </c>
      <c r="B7" s="1">
        <v>120000.0</v>
      </c>
    </row>
    <row r="8" ht="14.25" customHeight="1">
      <c r="A8" s="1">
        <f t="shared" si="1"/>
        <v>7</v>
      </c>
      <c r="B8" s="1">
        <v>190000.0</v>
      </c>
    </row>
    <row r="9" ht="14.25" customHeight="1">
      <c r="A9" s="1">
        <f t="shared" si="1"/>
        <v>8</v>
      </c>
      <c r="B9" s="1">
        <v>260000.0</v>
      </c>
    </row>
    <row r="10" ht="14.25" customHeight="1">
      <c r="A10" s="1">
        <f t="shared" si="1"/>
        <v>9</v>
      </c>
      <c r="B10" s="1">
        <v>330000.0</v>
      </c>
    </row>
    <row r="11" ht="14.25" customHeight="1">
      <c r="A11" s="1">
        <f t="shared" si="1"/>
        <v>10</v>
      </c>
      <c r="B11" s="1">
        <v>400000.0</v>
      </c>
      <c r="C11" s="1">
        <v>4000000.0</v>
      </c>
    </row>
    <row r="12" ht="14.25" customHeight="1"/>
    <row r="13" ht="14.25" customHeight="1"/>
    <row r="14" ht="14.25" customHeight="1">
      <c r="B14" s="2"/>
    </row>
    <row r="15" ht="14.25" customHeight="1">
      <c r="C15" s="1">
        <v>1.0</v>
      </c>
      <c r="D15" s="1">
        <v>2.0</v>
      </c>
      <c r="E15" s="1">
        <v>3.0</v>
      </c>
      <c r="F15" s="1">
        <v>4.0</v>
      </c>
      <c r="G15" s="1">
        <v>5.0</v>
      </c>
      <c r="H15" s="1">
        <v>6.0</v>
      </c>
      <c r="I15" s="1">
        <v>7.0</v>
      </c>
      <c r="J15" s="1">
        <v>8.0</v>
      </c>
      <c r="K15" s="1">
        <v>9.0</v>
      </c>
      <c r="L15" s="1">
        <v>10.0</v>
      </c>
      <c r="M15" s="1">
        <v>11.0</v>
      </c>
    </row>
    <row r="16" ht="14.25" customHeight="1"/>
    <row r="17" ht="14.25" customHeight="1">
      <c r="C17" s="1">
        <v>50000.0</v>
      </c>
      <c r="D17" s="1">
        <f t="shared" ref="D17:G17" si="2">C17</f>
        <v>50000</v>
      </c>
      <c r="E17" s="1">
        <f t="shared" si="2"/>
        <v>50000</v>
      </c>
      <c r="F17" s="1">
        <f t="shared" si="2"/>
        <v>50000</v>
      </c>
      <c r="G17" s="1">
        <f t="shared" si="2"/>
        <v>50000</v>
      </c>
      <c r="H17" s="1">
        <v>70000.0</v>
      </c>
      <c r="I17" s="1">
        <f t="shared" ref="I17:L17" si="3">H17</f>
        <v>70000</v>
      </c>
      <c r="J17" s="1">
        <f t="shared" si="3"/>
        <v>70000</v>
      </c>
      <c r="K17" s="1">
        <f t="shared" si="3"/>
        <v>70000</v>
      </c>
      <c r="L17" s="1">
        <f t="shared" si="3"/>
        <v>70000</v>
      </c>
    </row>
    <row r="18" ht="14.25" customHeight="1">
      <c r="L18" s="1">
        <f>L17*10</f>
        <v>700000</v>
      </c>
    </row>
    <row r="19" ht="14.25" customHeight="1">
      <c r="A19" s="1" t="s">
        <v>5</v>
      </c>
    </row>
    <row r="20" ht="14.25" customHeight="1">
      <c r="A20" s="3">
        <f>IRR(B20:L20)</f>
        <v>0.1350582153</v>
      </c>
      <c r="B20" s="1">
        <v>-500000.0</v>
      </c>
      <c r="C20" s="1">
        <f t="shared" ref="C20:L20" si="4">SUM(C17:C18)</f>
        <v>50000</v>
      </c>
      <c r="D20" s="1">
        <f t="shared" si="4"/>
        <v>50000</v>
      </c>
      <c r="E20" s="1">
        <f t="shared" si="4"/>
        <v>50000</v>
      </c>
      <c r="F20" s="1">
        <f t="shared" si="4"/>
        <v>50000</v>
      </c>
      <c r="G20" s="1">
        <f t="shared" si="4"/>
        <v>50000</v>
      </c>
      <c r="H20" s="1">
        <f t="shared" si="4"/>
        <v>70000</v>
      </c>
      <c r="I20" s="1">
        <f t="shared" si="4"/>
        <v>70000</v>
      </c>
      <c r="J20" s="1">
        <f t="shared" si="4"/>
        <v>70000</v>
      </c>
      <c r="K20" s="1">
        <f t="shared" si="4"/>
        <v>70000</v>
      </c>
      <c r="L20" s="1">
        <f t="shared" si="4"/>
        <v>770000</v>
      </c>
    </row>
    <row r="21" ht="14.25" customHeight="1">
      <c r="B21" s="1">
        <v>0.12</v>
      </c>
    </row>
    <row r="22" ht="14.25" customHeight="1">
      <c r="B22" s="4" t="s">
        <v>6</v>
      </c>
      <c r="C22" s="5">
        <f>C20/B21</f>
        <v>416666.6667</v>
      </c>
      <c r="D22" s="1" t="s">
        <v>7</v>
      </c>
    </row>
    <row r="23" ht="14.25" customHeight="1"/>
    <row r="24" ht="14.25" customHeight="1">
      <c r="B24" s="6">
        <f t="array" ref="B24">NPV(B21,C20:L20)</f>
        <v>548801.3536</v>
      </c>
      <c r="C24" s="7" t="s">
        <v>8</v>
      </c>
      <c r="D24" s="7"/>
    </row>
    <row r="25" ht="14.25" customHeight="1"/>
    <row r="26" ht="14.25" customHeight="1">
      <c r="B26" s="8">
        <f>IRR(B20:L20)</f>
        <v>0.1350582153</v>
      </c>
      <c r="C26" s="7" t="s">
        <v>5</v>
      </c>
      <c r="D26" s="7"/>
    </row>
    <row r="27" ht="14.25" customHeight="1">
      <c r="B27" s="9"/>
    </row>
    <row r="28" ht="14.25" customHeight="1">
      <c r="B28" s="6">
        <f>B24+B20</f>
        <v>48801.35356</v>
      </c>
      <c r="C28" s="7" t="s">
        <v>9</v>
      </c>
      <c r="D28" s="7"/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2013-02-27T14:09:52Z</dcterms:created>
  <dc:creator>Jaime Luque</dc:creator>
</cp:coreProperties>
</file>