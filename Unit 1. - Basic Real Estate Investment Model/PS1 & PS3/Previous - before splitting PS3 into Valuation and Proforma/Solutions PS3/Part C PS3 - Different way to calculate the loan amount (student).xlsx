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65" windowWidth="25605" windowHeight="14565" tabRatio="500"/>
  </bookViews>
  <sheets>
    <sheet name="Investment Model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J3" i="1"/>
  <c r="J4" i="1"/>
  <c r="B37" i="1"/>
  <c r="C34" i="1"/>
  <c r="C36" i="1"/>
  <c r="D34" i="1"/>
  <c r="D36" i="1"/>
  <c r="E34" i="1"/>
  <c r="E36" i="1"/>
  <c r="F34" i="1"/>
  <c r="F36" i="1"/>
  <c r="H34" i="1"/>
  <c r="H25" i="1"/>
  <c r="H35" i="1"/>
  <c r="H36" i="1"/>
  <c r="B38" i="1"/>
  <c r="E5" i="1"/>
  <c r="H2" i="1"/>
  <c r="G5" i="1"/>
  <c r="G6" i="1"/>
  <c r="H4" i="1"/>
  <c r="J2" i="1"/>
  <c r="J7" i="1"/>
  <c r="C22" i="1"/>
  <c r="D22" i="1"/>
  <c r="E22" i="1"/>
  <c r="F22" i="1"/>
  <c r="G22" i="1"/>
  <c r="H22" i="1"/>
  <c r="C23" i="1"/>
  <c r="D23" i="1"/>
  <c r="E23" i="1"/>
  <c r="F23" i="1"/>
  <c r="G23" i="1"/>
  <c r="H23" i="1"/>
  <c r="B25" i="1"/>
  <c r="B26" i="1"/>
  <c r="C26" i="1"/>
  <c r="D26" i="1"/>
  <c r="E26" i="1"/>
  <c r="F26" i="1"/>
  <c r="G26" i="1"/>
  <c r="H26" i="1"/>
  <c r="H28" i="1"/>
  <c r="L2" i="1"/>
  <c r="C29" i="1"/>
  <c r="D29" i="1"/>
  <c r="E29" i="1"/>
  <c r="F29" i="1"/>
  <c r="G29" i="1"/>
  <c r="H29" i="1"/>
  <c r="H30" i="1"/>
  <c r="G34" i="1"/>
</calcChain>
</file>

<file path=xl/sharedStrings.xml><?xml version="1.0" encoding="utf-8"?>
<sst xmlns="http://schemas.openxmlformats.org/spreadsheetml/2006/main" count="58" uniqueCount="57">
  <si>
    <t>Year 1 PGI</t>
  </si>
  <si>
    <t>Year 2</t>
  </si>
  <si>
    <t>Year 2 PGI</t>
  </si>
  <si>
    <t>Vacancy Year 1</t>
  </si>
  <si>
    <t>Vacancy Year 2</t>
  </si>
  <si>
    <t>Vacancy Year 3 +</t>
  </si>
  <si>
    <t>Operating Expenses</t>
  </si>
  <si>
    <t>Cash Flows</t>
  </si>
  <si>
    <t>PGI</t>
  </si>
  <si>
    <t>Effective Gross Income</t>
  </si>
  <si>
    <t>NOI</t>
  </si>
  <si>
    <t>Debt Service</t>
  </si>
  <si>
    <t>Captial Expenditures</t>
  </si>
  <si>
    <t>Market Assumptions</t>
  </si>
  <si>
    <t>Selling Costs</t>
  </si>
  <si>
    <t>Discount Rate</t>
  </si>
  <si>
    <t>Rate</t>
  </si>
  <si>
    <t>LTV</t>
  </si>
  <si>
    <t>DSCR</t>
  </si>
  <si>
    <t>Year 1</t>
  </si>
  <si>
    <t>Year 3</t>
  </si>
  <si>
    <t>Year 4</t>
  </si>
  <si>
    <t>Year 5</t>
  </si>
  <si>
    <t>Vacancy Loss</t>
  </si>
  <si>
    <t>Year 3 + PGI</t>
  </si>
  <si>
    <t>PGI Growth Rate</t>
  </si>
  <si>
    <t>PV</t>
  </si>
  <si>
    <t>FV</t>
  </si>
  <si>
    <t>PMT</t>
  </si>
  <si>
    <t>Op. Expense</t>
  </si>
  <si>
    <t>Cap. Expenditure</t>
  </si>
  <si>
    <t>Mortgage Info</t>
  </si>
  <si>
    <t>Loan PV</t>
  </si>
  <si>
    <t>ADS given DSCR</t>
  </si>
  <si>
    <t>Debt Contraints</t>
  </si>
  <si>
    <t>Amoritize</t>
  </si>
  <si>
    <t>Total Payment Periods</t>
  </si>
  <si>
    <t>Periods/ Year</t>
  </si>
  <si>
    <t>IRR</t>
  </si>
  <si>
    <t>Cash on Cash</t>
  </si>
  <si>
    <t>Investment Amount</t>
  </si>
  <si>
    <t>Equity</t>
  </si>
  <si>
    <t>Purchase Price</t>
  </si>
  <si>
    <t>Equity Multiple</t>
  </si>
  <si>
    <t>DCF For Original Sales Price</t>
  </si>
  <si>
    <t>PBTCF</t>
  </si>
  <si>
    <t>Year 0</t>
  </si>
  <si>
    <t>NSP</t>
  </si>
  <si>
    <t>Property Level Cash Flows</t>
  </si>
  <si>
    <t>Cap rate</t>
  </si>
  <si>
    <t>Present Value</t>
  </si>
  <si>
    <t>Purchase/Sale</t>
  </si>
  <si>
    <t>Operating Assumptions</t>
  </si>
  <si>
    <t xml:space="preserve"> PMT given DCSR</t>
  </si>
  <si>
    <t>Total Cash Flows</t>
  </si>
  <si>
    <t>Disc Rate</t>
  </si>
  <si>
    <t>BTCF (Equity Cash Flows)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</si>
</sst>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&quot;$&quot;#,##0.00;\-&quot;$&quot;#,##0.00"/>
    <numFmt numFmtId="165" formatCode="&quot;$&quot;#,##0.00;[Red]\-&quot;$&quot;#,##0.00"/>
    <numFmt numFmtId="166" formatCode="_-&quot;$&quot;* #,##0.00_-;\-&quot;$&quot;* #,##0.00_-;_-&quot;$&quot;* &quot;-&quot;??_-;_-@_-"/>
    <numFmt numFmtId="167" formatCode="#,##0.00;[Red]#,##0.00"/>
    <numFmt numFmtId="168" formatCode="_-&quot;$&quot;* #,##0_-;\-&quot;$&quot;* #,##0_-;_-&quot;$&quot;* &quot;-&quot;??_-;_-@_-"/>
    <numFmt numFmtId="169" formatCode="&quot;$&quot;#,##0.00"/>
    <numFmt numFmtId="170" formatCode="0.00000"/>
    <numFmt numFmtId="171" formatCode="&quot;$&quot;#,##0.00;[Red]&quot;$&quot;#,##0.00"/>
    <numFmt numFmtId="172" formatCode="#,##0;[Red]#,##0"/>
    <numFmt numFmtId="173" formatCode="&quot;$&quot;#,##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7" fontId="0" fillId="0" borderId="0" xfId="1" applyNumberFormat="1" applyFont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right"/>
    </xf>
    <xf numFmtId="9" fontId="0" fillId="0" borderId="0" xfId="2" applyFont="1"/>
    <xf numFmtId="2" fontId="0" fillId="0" borderId="0" xfId="2" applyNumberFormat="1" applyFont="1"/>
    <xf numFmtId="170" fontId="0" fillId="0" borderId="0" xfId="2" applyNumberFormat="1" applyFont="1"/>
    <xf numFmtId="171" fontId="0" fillId="0" borderId="0" xfId="1" applyNumberFormat="1" applyFont="1"/>
    <xf numFmtId="0" fontId="2" fillId="0" borderId="0" xfId="0" applyFont="1" applyAlignment="1">
      <alignment horizontal="right"/>
    </xf>
    <xf numFmtId="172" fontId="0" fillId="0" borderId="0" xfId="1" applyNumberFormat="1" applyFont="1"/>
    <xf numFmtId="167" fontId="0" fillId="0" borderId="0" xfId="0" applyNumberFormat="1" applyFont="1"/>
    <xf numFmtId="0" fontId="2" fillId="0" borderId="0" xfId="0" applyFont="1" applyAlignment="1">
      <alignment horizontal="left"/>
    </xf>
    <xf numFmtId="10" fontId="0" fillId="0" borderId="0" xfId="0" applyNumberFormat="1" applyFont="1"/>
    <xf numFmtId="9" fontId="0" fillId="0" borderId="0" xfId="0" applyNumberFormat="1" applyFont="1"/>
    <xf numFmtId="164" fontId="0" fillId="0" borderId="0" xfId="0" applyNumberFormat="1" applyFont="1"/>
    <xf numFmtId="169" fontId="0" fillId="0" borderId="0" xfId="0" applyNumberFormat="1" applyFont="1"/>
    <xf numFmtId="165" fontId="0" fillId="0" borderId="0" xfId="0" applyNumberFormat="1" applyFont="1"/>
    <xf numFmtId="171" fontId="0" fillId="0" borderId="0" xfId="0" applyNumberFormat="1" applyFont="1"/>
    <xf numFmtId="171" fontId="0" fillId="0" borderId="0" xfId="0" applyNumberFormat="1" applyFont="1" applyAlignment="1">
      <alignment horizontal="right"/>
    </xf>
    <xf numFmtId="2" fontId="0" fillId="0" borderId="0" xfId="0" applyNumberFormat="1" applyFont="1"/>
    <xf numFmtId="173" fontId="0" fillId="0" borderId="0" xfId="0" applyNumberFormat="1" applyFont="1"/>
    <xf numFmtId="0" fontId="2" fillId="0" borderId="0" xfId="0" applyFont="1" applyAlignment="1">
      <alignment horizontal="center"/>
    </xf>
    <xf numFmtId="0" fontId="0" fillId="0" borderId="1" xfId="0" applyFont="1" applyBorder="1"/>
    <xf numFmtId="0" fontId="2" fillId="0" borderId="0" xfId="0" applyFont="1" applyBorder="1" applyAlignment="1"/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168" fontId="0" fillId="0" borderId="0" xfId="1" applyNumberFormat="1" applyFont="1" applyBorder="1"/>
    <xf numFmtId="9" fontId="0" fillId="0" borderId="0" xfId="0" applyNumberFormat="1" applyFont="1" applyBorder="1"/>
    <xf numFmtId="168" fontId="0" fillId="0" borderId="0" xfId="1" applyNumberFormat="1" applyFont="1" applyAlignment="1">
      <alignment horizontal="right"/>
    </xf>
    <xf numFmtId="168" fontId="0" fillId="0" borderId="0" xfId="1" applyNumberFormat="1" applyFont="1"/>
    <xf numFmtId="168" fontId="1" fillId="0" borderId="0" xfId="1" applyNumberFormat="1" applyFont="1" applyBorder="1"/>
    <xf numFmtId="168" fontId="2" fillId="0" borderId="0" xfId="1" applyNumberFormat="1" applyFont="1" applyAlignment="1">
      <alignment horizontal="right"/>
    </xf>
    <xf numFmtId="168" fontId="2" fillId="0" borderId="0" xfId="1" applyNumberFormat="1" applyFont="1"/>
    <xf numFmtId="168" fontId="1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zoomScale="120" zoomScaleNormal="120" workbookViewId="0">
      <selection activeCell="G12" sqref="G12"/>
    </sheetView>
  </sheetViews>
  <sheetFormatPr defaultColWidth="10.875" defaultRowHeight="15.75" x14ac:dyDescent="0.25"/>
  <cols>
    <col min="1" max="1" width="26.375" style="3" customWidth="1"/>
    <col min="2" max="2" width="15.125" style="3" customWidth="1"/>
    <col min="3" max="7" width="18" style="3" customWidth="1"/>
    <col min="8" max="8" width="16.375" style="3" customWidth="1"/>
    <col min="9" max="9" width="21.375" style="3" customWidth="1"/>
    <col min="10" max="10" width="10.875" style="3"/>
    <col min="11" max="11" width="21.875" style="3" customWidth="1"/>
    <col min="12" max="12" width="10.875" style="3"/>
    <col min="13" max="13" width="12.5" style="3" customWidth="1"/>
    <col min="14" max="16384" width="10.875" style="3"/>
  </cols>
  <sheetData>
    <row r="1" spans="1:12" x14ac:dyDescent="0.25">
      <c r="A1" s="24"/>
      <c r="B1" s="36" t="s">
        <v>52</v>
      </c>
      <c r="C1" s="36"/>
      <c r="D1" s="35" t="s">
        <v>13</v>
      </c>
      <c r="E1" s="35"/>
      <c r="F1" s="35" t="s">
        <v>34</v>
      </c>
      <c r="G1" s="35"/>
      <c r="H1" s="22" t="s">
        <v>32</v>
      </c>
      <c r="I1" s="35" t="s">
        <v>31</v>
      </c>
      <c r="J1" s="35"/>
      <c r="K1" s="35" t="s">
        <v>41</v>
      </c>
      <c r="L1" s="35"/>
    </row>
    <row r="2" spans="1:12" x14ac:dyDescent="0.25">
      <c r="A2" s="25"/>
      <c r="B2" s="26" t="s">
        <v>0</v>
      </c>
      <c r="C2" s="27">
        <v>900</v>
      </c>
      <c r="D2" s="4" t="s">
        <v>49</v>
      </c>
      <c r="E2" s="13">
        <v>9.2499999999999999E-2</v>
      </c>
      <c r="F2" s="4" t="s">
        <v>17</v>
      </c>
      <c r="G2" s="14">
        <v>0.7</v>
      </c>
      <c r="H2" s="15">
        <f>G2*(E5)</f>
        <v>7012.323350669797</v>
      </c>
      <c r="I2" s="4" t="s">
        <v>26</v>
      </c>
      <c r="J2" s="15">
        <f>MIN(H2:H4)</f>
        <v>6014.8206839130235</v>
      </c>
      <c r="K2" s="4" t="s">
        <v>40</v>
      </c>
      <c r="L2" s="16">
        <f>E5-J2</f>
        <v>4002.7841027581162</v>
      </c>
    </row>
    <row r="3" spans="1:12" x14ac:dyDescent="0.25">
      <c r="A3" s="25"/>
      <c r="B3" s="26" t="s">
        <v>2</v>
      </c>
      <c r="C3" s="27">
        <v>1000</v>
      </c>
      <c r="D3" s="4" t="s">
        <v>14</v>
      </c>
      <c r="E3" s="13">
        <v>1.4999999999999999E-2</v>
      </c>
      <c r="F3" s="4"/>
      <c r="I3" s="4" t="s">
        <v>16</v>
      </c>
      <c r="J3" s="7">
        <f>0.065/12</f>
        <v>5.4166666666666669E-3</v>
      </c>
    </row>
    <row r="4" spans="1:12" x14ac:dyDescent="0.25">
      <c r="A4" s="25"/>
      <c r="B4" s="26" t="s">
        <v>24</v>
      </c>
      <c r="C4" s="27">
        <v>1100</v>
      </c>
      <c r="D4" s="4" t="s">
        <v>15</v>
      </c>
      <c r="E4" s="14">
        <v>0.11</v>
      </c>
      <c r="F4" s="4" t="s">
        <v>18</v>
      </c>
      <c r="G4" s="3">
        <v>1.5</v>
      </c>
      <c r="H4" s="17">
        <f>PV(J3, J4, G6, J8,)</f>
        <v>6014.8206839130235</v>
      </c>
      <c r="I4" s="19" t="s">
        <v>36</v>
      </c>
      <c r="J4" s="20">
        <f>J5*J6</f>
        <v>300</v>
      </c>
    </row>
    <row r="5" spans="1:12" x14ac:dyDescent="0.25">
      <c r="A5" s="25"/>
      <c r="B5" s="26" t="s">
        <v>3</v>
      </c>
      <c r="C5" s="28">
        <v>0.1</v>
      </c>
      <c r="D5" s="4" t="s">
        <v>42</v>
      </c>
      <c r="E5" s="21">
        <f>B38</f>
        <v>10017.60478667114</v>
      </c>
      <c r="F5" s="4" t="s">
        <v>33</v>
      </c>
      <c r="G5" s="8">
        <f>-(C21/1.5)</f>
        <v>-487.34999999999997</v>
      </c>
      <c r="H5" s="18"/>
      <c r="I5" s="4" t="s">
        <v>35</v>
      </c>
      <c r="J5" s="3">
        <v>25</v>
      </c>
    </row>
    <row r="6" spans="1:12" x14ac:dyDescent="0.25">
      <c r="A6" s="25"/>
      <c r="B6" s="26" t="s">
        <v>4</v>
      </c>
      <c r="C6" s="28">
        <v>0.08</v>
      </c>
      <c r="D6" s="4" t="s">
        <v>25</v>
      </c>
      <c r="E6" s="13">
        <v>2.5000000000000001E-2</v>
      </c>
      <c r="F6" s="4" t="s">
        <v>53</v>
      </c>
      <c r="G6" s="18">
        <f>G5/12</f>
        <v>-40.612499999999997</v>
      </c>
      <c r="H6" s="18"/>
      <c r="I6" s="4" t="s">
        <v>37</v>
      </c>
      <c r="J6" s="3">
        <v>12</v>
      </c>
    </row>
    <row r="7" spans="1:12" x14ac:dyDescent="0.25">
      <c r="A7" s="25"/>
      <c r="B7" s="26" t="s">
        <v>5</v>
      </c>
      <c r="C7" s="28">
        <v>0.05</v>
      </c>
      <c r="I7" s="19" t="s">
        <v>28</v>
      </c>
      <c r="J7" s="18">
        <f>PMT(J3, J4, J2, J8, 0)</f>
        <v>-40.612499999999812</v>
      </c>
    </row>
    <row r="8" spans="1:12" x14ac:dyDescent="0.25">
      <c r="A8" s="25"/>
      <c r="B8" s="26" t="s">
        <v>29</v>
      </c>
      <c r="C8" s="28">
        <v>0.05</v>
      </c>
      <c r="I8" s="19" t="s">
        <v>27</v>
      </c>
      <c r="J8" s="18">
        <v>0</v>
      </c>
    </row>
    <row r="9" spans="1:12" x14ac:dyDescent="0.25">
      <c r="A9" s="25"/>
      <c r="B9" s="26" t="s">
        <v>30</v>
      </c>
      <c r="C9" s="28">
        <v>0.05</v>
      </c>
      <c r="E9" s="23"/>
      <c r="I9" s="17"/>
    </row>
    <row r="11" spans="1:12" x14ac:dyDescent="0.25">
      <c r="A11" s="4"/>
      <c r="B11" s="4"/>
      <c r="C11" s="14"/>
    </row>
    <row r="12" spans="1:12" x14ac:dyDescent="0.25">
      <c r="A12" s="4"/>
      <c r="B12" s="4"/>
      <c r="C12" s="14"/>
    </row>
    <row r="13" spans="1:12" x14ac:dyDescent="0.25">
      <c r="A13" s="4"/>
      <c r="B13" s="4"/>
      <c r="I13" s="15"/>
    </row>
    <row r="14" spans="1:12" x14ac:dyDescent="0.25">
      <c r="A14" s="9" t="s">
        <v>7</v>
      </c>
      <c r="B14" s="12" t="s">
        <v>46</v>
      </c>
      <c r="C14" s="2" t="s">
        <v>19</v>
      </c>
      <c r="D14" s="2" t="s">
        <v>1</v>
      </c>
      <c r="E14" s="2" t="s">
        <v>20</v>
      </c>
      <c r="F14" s="2" t="s">
        <v>21</v>
      </c>
      <c r="G14" s="2" t="s">
        <v>22</v>
      </c>
    </row>
    <row r="15" spans="1:12" x14ac:dyDescent="0.25">
      <c r="A15" s="4" t="s">
        <v>8</v>
      </c>
      <c r="B15" s="29"/>
      <c r="C15" s="30">
        <f>$C2</f>
        <v>900</v>
      </c>
      <c r="D15" s="30">
        <f>$C3</f>
        <v>1000</v>
      </c>
      <c r="E15" s="30">
        <f>$C4</f>
        <v>1100</v>
      </c>
      <c r="F15" s="30">
        <f>$C4*(1+$E$6)</f>
        <v>1127.5</v>
      </c>
      <c r="G15" s="30">
        <f>$F15*(1+E6)</f>
        <v>1155.6875</v>
      </c>
      <c r="H15" s="30">
        <f>$G15*(1+E6)</f>
        <v>1184.5796874999999</v>
      </c>
    </row>
    <row r="16" spans="1:12" x14ac:dyDescent="0.25">
      <c r="A16" s="4" t="s">
        <v>23</v>
      </c>
      <c r="B16" s="29"/>
      <c r="C16" s="30">
        <f>-$C$5*$C$15</f>
        <v>-90</v>
      </c>
      <c r="D16" s="30">
        <f>-$C6*$D15</f>
        <v>-80</v>
      </c>
      <c r="E16" s="30">
        <f>-$C7*$E15</f>
        <v>-55</v>
      </c>
      <c r="F16" s="30">
        <f>-$C7*F15</f>
        <v>-56.375</v>
      </c>
      <c r="G16" s="30">
        <f>-$C7*$G15</f>
        <v>-57.784375000000004</v>
      </c>
      <c r="H16" s="30">
        <f>-$C7*$H15</f>
        <v>-59.228984374999996</v>
      </c>
    </row>
    <row r="17" spans="1:8" x14ac:dyDescent="0.25">
      <c r="A17" s="4" t="s">
        <v>9</v>
      </c>
      <c r="B17" s="29"/>
      <c r="C17" s="30">
        <f>$C$15+$C$16</f>
        <v>810</v>
      </c>
      <c r="D17" s="30">
        <f>D15+D16</f>
        <v>920</v>
      </c>
      <c r="E17" s="30">
        <f>E15+E16</f>
        <v>1045</v>
      </c>
      <c r="F17" s="30">
        <f>F15+F16</f>
        <v>1071.125</v>
      </c>
      <c r="G17" s="30">
        <f>G15+G16</f>
        <v>1097.903125</v>
      </c>
      <c r="H17" s="30">
        <f>H15+H16</f>
        <v>1125.3507031249999</v>
      </c>
    </row>
    <row r="18" spans="1:8" x14ac:dyDescent="0.25">
      <c r="A18" s="4" t="s">
        <v>6</v>
      </c>
      <c r="B18" s="29"/>
      <c r="C18" s="31">
        <f>-$C$8*$C$17</f>
        <v>-40.5</v>
      </c>
      <c r="D18" s="31">
        <f>-$C$8*D$17</f>
        <v>-46</v>
      </c>
      <c r="E18" s="31">
        <f>-$C$8*E$17</f>
        <v>-52.25</v>
      </c>
      <c r="F18" s="31">
        <f>-$C$8*F$17</f>
        <v>-53.556250000000006</v>
      </c>
      <c r="G18" s="31">
        <f>-$C$8*G$17</f>
        <v>-54.895156250000007</v>
      </c>
      <c r="H18" s="31">
        <f>-$C$8*H$17</f>
        <v>-56.267535156249998</v>
      </c>
    </row>
    <row r="19" spans="1:8" x14ac:dyDescent="0.25">
      <c r="A19" s="9" t="s">
        <v>10</v>
      </c>
      <c r="B19" s="32"/>
      <c r="C19" s="33">
        <f>$C$17+$C$18</f>
        <v>769.5</v>
      </c>
      <c r="D19" s="33">
        <f>D$17+D$18</f>
        <v>874</v>
      </c>
      <c r="E19" s="33">
        <f>E$17+E$18</f>
        <v>992.75</v>
      </c>
      <c r="F19" s="33">
        <f>F$17+F$18</f>
        <v>1017.56875</v>
      </c>
      <c r="G19" s="33">
        <f>G$17+G$18</f>
        <v>1043.0079687500001</v>
      </c>
      <c r="H19" s="33">
        <f>H$17+H$18</f>
        <v>1069.0831679687499</v>
      </c>
    </row>
    <row r="20" spans="1:8" x14ac:dyDescent="0.25">
      <c r="A20" s="4" t="s">
        <v>12</v>
      </c>
      <c r="B20" s="29"/>
      <c r="C20" s="30">
        <f t="shared" ref="C20:H20" si="0">-$C$9*C19</f>
        <v>-38.475000000000001</v>
      </c>
      <c r="D20" s="30">
        <f t="shared" si="0"/>
        <v>-43.7</v>
      </c>
      <c r="E20" s="30">
        <f t="shared" si="0"/>
        <v>-49.637500000000003</v>
      </c>
      <c r="F20" s="30">
        <f t="shared" si="0"/>
        <v>-50.878437500000004</v>
      </c>
      <c r="G20" s="30">
        <f t="shared" si="0"/>
        <v>-52.150398437500009</v>
      </c>
      <c r="H20" s="30">
        <f t="shared" si="0"/>
        <v>-53.454158398437499</v>
      </c>
    </row>
    <row r="21" spans="1:8" x14ac:dyDescent="0.25">
      <c r="A21" s="4" t="s">
        <v>45</v>
      </c>
      <c r="B21" s="29"/>
      <c r="C21" s="30">
        <f>C19+C20</f>
        <v>731.02499999999998</v>
      </c>
      <c r="D21" s="30">
        <f t="shared" ref="D21:H21" si="1">D19+D20</f>
        <v>830.3</v>
      </c>
      <c r="E21" s="30">
        <f t="shared" si="1"/>
        <v>943.11249999999995</v>
      </c>
      <c r="F21" s="30">
        <f>F19+F20</f>
        <v>966.6903125</v>
      </c>
      <c r="G21" s="30">
        <f t="shared" si="1"/>
        <v>990.85757031250012</v>
      </c>
      <c r="H21" s="30">
        <f t="shared" si="1"/>
        <v>1015.6290095703124</v>
      </c>
    </row>
    <row r="22" spans="1:8" x14ac:dyDescent="0.25">
      <c r="A22" s="4" t="s">
        <v>11</v>
      </c>
      <c r="B22" s="29"/>
      <c r="C22" s="34">
        <f t="shared" ref="C22:H22" si="2">$J$7*$J$6</f>
        <v>-487.34999999999775</v>
      </c>
      <c r="D22" s="34">
        <f t="shared" si="2"/>
        <v>-487.34999999999775</v>
      </c>
      <c r="E22" s="34">
        <f t="shared" si="2"/>
        <v>-487.34999999999775</v>
      </c>
      <c r="F22" s="34">
        <f t="shared" si="2"/>
        <v>-487.34999999999775</v>
      </c>
      <c r="G22" s="34">
        <f t="shared" si="2"/>
        <v>-487.34999999999775</v>
      </c>
      <c r="H22" s="34">
        <f t="shared" si="2"/>
        <v>-487.34999999999775</v>
      </c>
    </row>
    <row r="23" spans="1:8" x14ac:dyDescent="0.25">
      <c r="A23" s="9" t="s">
        <v>56</v>
      </c>
      <c r="B23" s="32"/>
      <c r="C23" s="33">
        <f>C21+C22</f>
        <v>243.67500000000223</v>
      </c>
      <c r="D23" s="33">
        <f>D21+D22</f>
        <v>342.95000000000221</v>
      </c>
      <c r="E23" s="33">
        <f>E21+E22</f>
        <v>455.76250000000221</v>
      </c>
      <c r="F23" s="33">
        <f>F21+F22</f>
        <v>479.34031250000226</v>
      </c>
      <c r="G23" s="33">
        <f>$G$21+$G$22</f>
        <v>503.50757031250237</v>
      </c>
      <c r="H23" s="33">
        <f>H21+H22</f>
        <v>528.27900957031466</v>
      </c>
    </row>
    <row r="24" spans="1:8" x14ac:dyDescent="0.25">
      <c r="A24" s="9"/>
      <c r="B24" s="32"/>
      <c r="C24" s="30"/>
      <c r="D24" s="30"/>
      <c r="E24" s="30"/>
      <c r="F24" s="30"/>
      <c r="G24" s="33"/>
      <c r="H24" s="30"/>
    </row>
    <row r="25" spans="1:8" x14ac:dyDescent="0.25">
      <c r="A25" s="9" t="s">
        <v>51</v>
      </c>
      <c r="B25" s="33">
        <f>-B38</f>
        <v>-10017.60478667114</v>
      </c>
      <c r="C25" s="33"/>
      <c r="D25" s="30"/>
      <c r="E25" s="30"/>
      <c r="F25" s="30"/>
      <c r="G25" s="30"/>
      <c r="H25" s="33">
        <f>H19/E2*(1-E3)</f>
        <v>11384.291031883444</v>
      </c>
    </row>
    <row r="26" spans="1:8" x14ac:dyDescent="0.25">
      <c r="A26" s="9" t="s">
        <v>54</v>
      </c>
      <c r="B26" s="33">
        <f>-B38</f>
        <v>-10017.60478667114</v>
      </c>
      <c r="C26" s="33">
        <f t="shared" ref="C26:H26" si="3">C23+C25</f>
        <v>243.67500000000223</v>
      </c>
      <c r="D26" s="33">
        <f t="shared" si="3"/>
        <v>342.95000000000221</v>
      </c>
      <c r="E26" s="33">
        <f t="shared" si="3"/>
        <v>455.76250000000221</v>
      </c>
      <c r="F26" s="33">
        <f t="shared" si="3"/>
        <v>479.34031250000226</v>
      </c>
      <c r="G26" s="33">
        <f t="shared" si="3"/>
        <v>503.50757031250237</v>
      </c>
      <c r="H26" s="33">
        <f t="shared" si="3"/>
        <v>11912.570041453759</v>
      </c>
    </row>
    <row r="27" spans="1:8" x14ac:dyDescent="0.25">
      <c r="A27" s="9"/>
      <c r="B27" s="9"/>
      <c r="C27" s="1"/>
      <c r="D27" s="1"/>
      <c r="E27" s="1"/>
      <c r="F27" s="1"/>
      <c r="G27" s="1"/>
    </row>
    <row r="28" spans="1:8" x14ac:dyDescent="0.25">
      <c r="A28" s="9" t="s">
        <v>38</v>
      </c>
      <c r="B28" s="9"/>
      <c r="H28" s="14">
        <f>IRR(B26:H26)</f>
        <v>6.1029503644339567E-2</v>
      </c>
    </row>
    <row r="29" spans="1:8" x14ac:dyDescent="0.25">
      <c r="A29" s="9" t="s">
        <v>39</v>
      </c>
      <c r="B29" s="9"/>
      <c r="C29" s="5">
        <f t="shared" ref="C29:G29" si="4">C26/$L$2</f>
        <v>6.0876378476695282E-2</v>
      </c>
      <c r="D29" s="5">
        <f t="shared" si="4"/>
        <v>8.5677866004237574E-2</v>
      </c>
      <c r="E29" s="5">
        <f t="shared" si="4"/>
        <v>0.11386137455826291</v>
      </c>
      <c r="F29" s="5">
        <f t="shared" si="4"/>
        <v>0.11975172784605422</v>
      </c>
      <c r="G29" s="5">
        <f t="shared" si="4"/>
        <v>0.12578933996604033</v>
      </c>
      <c r="H29" s="5">
        <f>H26/$L$2</f>
        <v>2.9760710884320263</v>
      </c>
    </row>
    <row r="30" spans="1:8" x14ac:dyDescent="0.25">
      <c r="A30" s="9" t="s">
        <v>43</v>
      </c>
      <c r="B30" s="9"/>
      <c r="C30" s="6"/>
      <c r="D30" s="6"/>
      <c r="E30" s="6"/>
      <c r="F30" s="6"/>
      <c r="H30" s="6">
        <f>-(SUM(C26:H26)/B26)</f>
        <v>1.39133113364695</v>
      </c>
    </row>
    <row r="33" spans="1:8" x14ac:dyDescent="0.25">
      <c r="A33" s="9" t="s">
        <v>44</v>
      </c>
      <c r="B33" s="9"/>
    </row>
    <row r="34" spans="1:8" x14ac:dyDescent="0.25">
      <c r="A34" s="9" t="s">
        <v>45</v>
      </c>
      <c r="C34" s="10">
        <f>C21</f>
        <v>731.02499999999998</v>
      </c>
      <c r="D34" s="10">
        <f t="shared" ref="D34:H34" si="5">D21</f>
        <v>830.3</v>
      </c>
      <c r="E34" s="10">
        <f t="shared" si="5"/>
        <v>943.11249999999995</v>
      </c>
      <c r="F34" s="10">
        <f t="shared" si="5"/>
        <v>966.6903125</v>
      </c>
      <c r="G34" s="10">
        <f t="shared" si="5"/>
        <v>990.85757031250012</v>
      </c>
      <c r="H34" s="10">
        <f t="shared" si="5"/>
        <v>1015.6290095703124</v>
      </c>
    </row>
    <row r="35" spans="1:8" x14ac:dyDescent="0.25">
      <c r="A35" s="9" t="s">
        <v>47</v>
      </c>
      <c r="H35" s="11">
        <f>H25</f>
        <v>11384.291031883444</v>
      </c>
    </row>
    <row r="36" spans="1:8" x14ac:dyDescent="0.25">
      <c r="A36" s="9" t="s">
        <v>48</v>
      </c>
      <c r="C36" s="11">
        <f>C34+C35</f>
        <v>731.02499999999998</v>
      </c>
      <c r="D36" s="11">
        <f t="shared" ref="D36:E36" si="6">D34+D35</f>
        <v>830.3</v>
      </c>
      <c r="E36" s="11">
        <f t="shared" si="6"/>
        <v>943.11249999999995</v>
      </c>
      <c r="F36" s="11">
        <f>F34+F35</f>
        <v>966.6903125</v>
      </c>
      <c r="H36" s="11">
        <f>H34+H35</f>
        <v>12399.920041453755</v>
      </c>
    </row>
    <row r="37" spans="1:8" x14ac:dyDescent="0.25">
      <c r="A37" s="9" t="s">
        <v>55</v>
      </c>
      <c r="B37" s="14">
        <f>E4</f>
        <v>0.11</v>
      </c>
      <c r="C37" s="11"/>
      <c r="D37" s="11"/>
      <c r="E37" s="11"/>
      <c r="F37" s="11"/>
      <c r="H37" s="11"/>
    </row>
    <row r="38" spans="1:8" x14ac:dyDescent="0.25">
      <c r="A38" s="9" t="s">
        <v>50</v>
      </c>
      <c r="B38" s="17">
        <f>NPV(B37, C36:H36)</f>
        <v>10017.60478667114</v>
      </c>
    </row>
  </sheetData>
  <mergeCells count="5">
    <mergeCell ref="F1:G1"/>
    <mergeCell ref="B1:C1"/>
    <mergeCell ref="D1:E1"/>
    <mergeCell ref="I1:J1"/>
    <mergeCell ref="K1:L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 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Jaime Luque</cp:lastModifiedBy>
  <dcterms:created xsi:type="dcterms:W3CDTF">2016-02-20T00:01:27Z</dcterms:created>
  <dcterms:modified xsi:type="dcterms:W3CDTF">2016-03-01T14:48:14Z</dcterms:modified>
</cp:coreProperties>
</file>