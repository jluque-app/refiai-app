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approach to DCF Model" sheetId="1" r:id="rId4"/>
    <sheet state="visible" name="DCF Complete Model" sheetId="2" r:id="rId5"/>
    <sheet state="visible" name="Mtg Math" sheetId="3" r:id="rId6"/>
    <sheet state="visible" name="Debt-Equity" sheetId="4" r:id="rId7"/>
    <sheet state="visible" name="DCF model with growth on PGI" sheetId="5" r:id="rId8"/>
    <sheet state="visible" name="FDBD" sheetId="6" r:id="rId9"/>
  </sheets>
  <definedNames/>
  <calcPr/>
  <extLst>
    <ext uri="GoogleSheetsCustomDataVersion2">
      <go:sheetsCustomData xmlns:go="http://customooxmlschemas.google.com/" r:id="rId10" roundtripDataChecksum="/CDZAJAHkHIKiHKhXTpAAE6RMRKld05OlaBttFlor+Q="/>
    </ext>
  </extLst>
</workbook>
</file>

<file path=xl/sharedStrings.xml><?xml version="1.0" encoding="utf-8"?>
<sst xmlns="http://schemas.openxmlformats.org/spreadsheetml/2006/main" count="239" uniqueCount="116">
  <si>
    <t>INCOME ASSUMPTIONS</t>
  </si>
  <si>
    <t>VALUATION ASSUMPTIONS</t>
  </si>
  <si>
    <t>PGI Yr1</t>
  </si>
  <si>
    <t>Cap Rate</t>
  </si>
  <si>
    <t>Vacancy</t>
  </si>
  <si>
    <t>Terminal Cap</t>
  </si>
  <si>
    <t>Oper. Exp. (% of EGI)</t>
  </si>
  <si>
    <t>Inc. Growth</t>
  </si>
  <si>
    <t>Cap. Improvements (% of NOI)</t>
  </si>
  <si>
    <t>Discount Rate</t>
  </si>
  <si>
    <t>Cost of Sale</t>
  </si>
  <si>
    <t>Pro Forma</t>
  </si>
  <si>
    <t>PGI</t>
  </si>
  <si>
    <t>-Vac</t>
  </si>
  <si>
    <t>EGI</t>
  </si>
  <si>
    <t>Oper Exp</t>
  </si>
  <si>
    <t>NOI</t>
  </si>
  <si>
    <t>-CI</t>
  </si>
  <si>
    <t>PBTCF</t>
  </si>
  <si>
    <t>Year 6 NOI</t>
  </si>
  <si>
    <t>Terminal/"Going-out" Cap</t>
  </si>
  <si>
    <t>Sale Price</t>
  </si>
  <si>
    <t>Cost of Sales</t>
  </si>
  <si>
    <t>Net Sale Price (NSP)</t>
  </si>
  <si>
    <t>Constant Growth, Fixed Period with Reversion</t>
  </si>
  <si>
    <t>Valuation</t>
  </si>
  <si>
    <t>/(Y-g)</t>
  </si>
  <si>
    <t>(i.e. Cap Rate = Discount Rate - Growth Rate)</t>
  </si>
  <si>
    <t>=Value</t>
  </si>
  <si>
    <t>Proof</t>
  </si>
  <si>
    <t>Cash Flow</t>
  </si>
  <si>
    <t>DiscRate</t>
  </si>
  <si>
    <t>NPV</t>
  </si>
  <si>
    <t>Impl Cap</t>
  </si>
  <si>
    <t>Discounted Cash Flow</t>
  </si>
  <si>
    <t>Direct Capitalization</t>
  </si>
  <si>
    <t>Cap Rate*</t>
  </si>
  <si>
    <t>Value Dir Cap</t>
  </si>
  <si>
    <t>DEBT ASSUMPTIONS - FIXED RATE, CONSTANT PAYMENT MORTGAGE</t>
  </si>
  <si>
    <t>Loan Amount</t>
  </si>
  <si>
    <t>Interest Rate</t>
  </si>
  <si>
    <t>Ammortization</t>
  </si>
  <si>
    <t>years</t>
  </si>
  <si>
    <t>Term</t>
  </si>
  <si>
    <t xml:space="preserve"> Calc Payments</t>
  </si>
  <si>
    <t>Calc OLB*</t>
  </si>
  <si>
    <t>N</t>
  </si>
  <si>
    <t>I</t>
  </si>
  <si>
    <t>PV</t>
  </si>
  <si>
    <t>PMT</t>
  </si>
  <si>
    <t>FV</t>
  </si>
  <si>
    <t>*Outstanding (remaining) Loan Balance</t>
  </si>
  <si>
    <t>Annual Debt Service</t>
  </si>
  <si>
    <t>ADS = PMT*12</t>
  </si>
  <si>
    <t>Mortgage Constant</t>
  </si>
  <si>
    <t>MC = ADS / Loan Amount</t>
  </si>
  <si>
    <t>DEBT ASSUMPTIONS</t>
  </si>
  <si>
    <t>Purchase Price</t>
  </si>
  <si>
    <t>(Value estimate from DCF)</t>
  </si>
  <si>
    <t>Loan To Value</t>
  </si>
  <si>
    <t>Ammortization (years)</t>
  </si>
  <si>
    <t>Term (years)</t>
  </si>
  <si>
    <t>Operating Cash Flows</t>
  </si>
  <si>
    <t>DSCR</t>
  </si>
  <si>
    <t>ADS for a Constant Payment Mortgage</t>
  </si>
  <si>
    <t>ANNUAL DEBT SERVICE</t>
  </si>
  <si>
    <t>-ADS</t>
  </si>
  <si>
    <t>BTCF</t>
  </si>
  <si>
    <t>Capital/Investment Transactions</t>
  </si>
  <si>
    <t>Debt  (Loan Amount)</t>
  </si>
  <si>
    <t>- Outstanding Loan Balance (OLB)</t>
  </si>
  <si>
    <t>Equity Investment</t>
  </si>
  <si>
    <t>Before Tax Equity Reversion (BTER)</t>
  </si>
  <si>
    <t>Property Level- Discounted Cash Flows</t>
  </si>
  <si>
    <t>NOI_1</t>
  </si>
  <si>
    <t>NSP</t>
  </si>
  <si>
    <t>Property Level Cash Flows</t>
  </si>
  <si>
    <t>Value</t>
  </si>
  <si>
    <t>* from market derived data</t>
  </si>
  <si>
    <t>Debt Cash Flows</t>
  </si>
  <si>
    <t>Debt Service</t>
  </si>
  <si>
    <t>Loan/Repayment</t>
  </si>
  <si>
    <t>Cash Flows</t>
  </si>
  <si>
    <t>Debt IRR</t>
  </si>
  <si>
    <t>Equity Cash Flows</t>
  </si>
  <si>
    <t>BTER</t>
  </si>
  <si>
    <t>Equity Cash Flow</t>
  </si>
  <si>
    <t>Equity IRR</t>
  </si>
  <si>
    <t>EDR (CoC)</t>
  </si>
  <si>
    <t>Equity Multiple</t>
  </si>
  <si>
    <t xml:space="preserve">  Total Equity Cash Flow</t>
  </si>
  <si>
    <t xml:space="preserve">  Equity Invested</t>
  </si>
  <si>
    <t>WACC-Total Return (IRR) Before Tax Basis</t>
  </si>
  <si>
    <t>Debt</t>
  </si>
  <si>
    <t>Equity</t>
  </si>
  <si>
    <t>WACC-Year 1 Cash Flow ("Band of Investment")</t>
  </si>
  <si>
    <t>"Implied Cap Rate"</t>
  </si>
  <si>
    <t>Constant Growth Perpetuity</t>
  </si>
  <si>
    <t>NOTE: Difference is due to 100 year vs. perpetuity</t>
  </si>
  <si>
    <t>BACK-DOOR MODEL</t>
  </si>
  <si>
    <t>OPERATING PRO FORMA</t>
  </si>
  <si>
    <t>Year 1</t>
  </si>
  <si>
    <t>Debt Terms</t>
  </si>
  <si>
    <t>Calculate Mortgage Constant</t>
  </si>
  <si>
    <t>EQUITY CONSTRAINTS/RETURNS</t>
  </si>
  <si>
    <t>DEBT CONSTRAINTS/RETURNS</t>
  </si>
  <si>
    <t>Equity Dividend Rate (EDR)</t>
  </si>
  <si>
    <t>Implied Cap</t>
  </si>
  <si>
    <t>LTC</t>
  </si>
  <si>
    <t>TOTAL PROJECT COST</t>
  </si>
  <si>
    <t>Total Justified Project Cost/Value</t>
  </si>
  <si>
    <t>Building Constr Cost</t>
  </si>
  <si>
    <t>Justified/Feasible Land Price</t>
  </si>
  <si>
    <t>Weighted Average Cost of Capital (or Band of Investment in Appraisal Terms)</t>
  </si>
  <si>
    <t>Weight</t>
  </si>
  <si>
    <t>Return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</si>
</sst>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"/>
    <numFmt numFmtId="165" formatCode="0.0%"/>
    <numFmt numFmtId="166" formatCode="_(&quot;$&quot;* #,##0_);_(&quot;$&quot;* \(#,##0\);_(&quot;$&quot;* &quot;-&quot;??_);_(@_)"/>
    <numFmt numFmtId="167" formatCode="0.0000%"/>
    <numFmt numFmtId="168" formatCode="_(&quot;$&quot;* #,##0.00_);_(&quot;$&quot;* \(#,##0.00\);_(&quot;$&quot;* &quot;-&quot;??_);_(@_)"/>
    <numFmt numFmtId="169" formatCode="_(* #,##0_);_(* \(#,##0\);_(* &quot;-&quot;??_);_(@_)"/>
    <numFmt numFmtId="170" formatCode="_(* #,##0.000_);_(* \(#,##0.000\);_(* &quot;-&quot;??_);_(@_)"/>
    <numFmt numFmtId="171" formatCode="&quot;$&quot;#,##0.00"/>
    <numFmt numFmtId="172" formatCode="_(* #,##0.00_);_(* \(#,##0.00\);_(* &quot;-&quot;??_);_(@_)"/>
    <numFmt numFmtId="173" formatCode="_(&quot;$&quot;* #,##0.0000_);_(&quot;$&quot;* \(#,##0.0000\);_(&quot;$&quot;* &quot;-&quot;??_);_(@_)"/>
    <numFmt numFmtId="174" formatCode="0.000%"/>
  </numFmts>
  <fonts count="16">
    <font>
      <sz val="10.0"/>
      <color rgb="FF000000"/>
      <name val="Arial"/>
      <scheme val="minor"/>
    </font>
    <font>
      <u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u/>
      <sz val="10.0"/>
      <color theme="1"/>
      <name val="Arial"/>
    </font>
    <font>
      <b/>
      <u/>
      <sz val="10.0"/>
      <color theme="1"/>
      <name val="Arial"/>
    </font>
    <font>
      <b/>
      <sz val="12.0"/>
      <color theme="1"/>
      <name val="Arial"/>
    </font>
    <font>
      <b/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D6E3BC"/>
        <bgColor rgb="FFD6E3BC"/>
      </patternFill>
    </fill>
  </fills>
  <borders count="13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164" xfId="0" applyFont="1" applyNumberFormat="1"/>
    <xf borderId="0" fillId="0" fontId="2" numFmtId="0" xfId="0" applyAlignment="1" applyFont="1">
      <alignment horizontal="right"/>
    </xf>
    <xf borderId="1" fillId="2" fontId="2" numFmtId="10" xfId="0" applyBorder="1" applyFill="1" applyFont="1" applyNumberFormat="1"/>
    <xf borderId="0" fillId="0" fontId="2" numFmtId="165" xfId="0" applyFont="1" applyNumberFormat="1"/>
    <xf borderId="0" fillId="0" fontId="2" numFmtId="10" xfId="0" applyFont="1" applyNumberFormat="1"/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quotePrefix="1" borderId="0" fillId="0" fontId="5" numFmtId="0" xfId="0" applyFont="1"/>
    <xf borderId="0" fillId="0" fontId="6" numFmtId="164" xfId="0" applyFont="1" applyNumberFormat="1"/>
    <xf borderId="0" fillId="0" fontId="7" numFmtId="0" xfId="0" applyFont="1"/>
    <xf quotePrefix="1" borderId="0" fillId="0" fontId="2" numFmtId="0" xfId="0" applyFont="1"/>
    <xf borderId="2" fillId="0" fontId="8" numFmtId="0" xfId="0" applyBorder="1" applyFont="1"/>
    <xf borderId="3" fillId="0" fontId="2" numFmtId="0" xfId="0" applyBorder="1" applyFont="1"/>
    <xf borderId="4" fillId="0" fontId="2" numFmtId="0" xfId="0" applyBorder="1" applyFont="1"/>
    <xf borderId="2" fillId="0" fontId="9" numFmtId="0" xfId="0" applyBorder="1" applyFont="1"/>
    <xf borderId="5" fillId="0" fontId="2" numFmtId="0" xfId="0" applyBorder="1" applyFont="1"/>
    <xf borderId="6" fillId="0" fontId="2" numFmtId="164" xfId="0" applyBorder="1" applyFont="1" applyNumberFormat="1"/>
    <xf borderId="6" fillId="0" fontId="2" numFmtId="0" xfId="0" applyBorder="1" applyFont="1"/>
    <xf borderId="6" fillId="0" fontId="2" numFmtId="10" xfId="0" applyBorder="1" applyFont="1" applyNumberFormat="1"/>
    <xf borderId="7" fillId="0" fontId="2" numFmtId="0" xfId="0" applyBorder="1" applyFont="1"/>
    <xf borderId="8" fillId="0" fontId="2" numFmtId="164" xfId="0" applyBorder="1" applyFont="1" applyNumberFormat="1"/>
    <xf borderId="8" fillId="0" fontId="2" numFmtId="0" xfId="0" applyBorder="1" applyFont="1"/>
    <xf borderId="9" fillId="0" fontId="2" numFmtId="0" xfId="0" applyBorder="1" applyFont="1"/>
    <xf borderId="7" fillId="0" fontId="2" numFmtId="0" xfId="0" applyAlignment="1" applyBorder="1" applyFont="1">
      <alignment horizontal="right"/>
    </xf>
    <xf borderId="10" fillId="0" fontId="2" numFmtId="164" xfId="0" applyBorder="1" applyFont="1" applyNumberFormat="1"/>
    <xf borderId="0" fillId="0" fontId="10" numFmtId="0" xfId="0" applyFont="1"/>
    <xf borderId="0" fillId="0" fontId="2" numFmtId="166" xfId="0" applyFont="1" applyNumberFormat="1"/>
    <xf borderId="0" fillId="0" fontId="2" numFmtId="167" xfId="0" applyFont="1" applyNumberFormat="1"/>
    <xf borderId="10" fillId="0" fontId="2" numFmtId="168" xfId="0" applyBorder="1" applyFont="1" applyNumberFormat="1"/>
    <xf borderId="0" fillId="0" fontId="2" numFmtId="168" xfId="0" applyFont="1" applyNumberFormat="1"/>
    <xf borderId="10" fillId="0" fontId="2" numFmtId="166" xfId="0" applyBorder="1" applyFont="1" applyNumberFormat="1"/>
    <xf borderId="10" fillId="0" fontId="2" numFmtId="167" xfId="0" applyBorder="1" applyFont="1" applyNumberFormat="1"/>
    <xf borderId="1" fillId="2" fontId="2" numFmtId="165" xfId="0" applyBorder="1" applyFont="1" applyNumberFormat="1"/>
    <xf borderId="1" fillId="2" fontId="2" numFmtId="169" xfId="0" applyBorder="1" applyFont="1" applyNumberFormat="1"/>
    <xf borderId="0" fillId="0" fontId="2" numFmtId="170" xfId="0" applyFont="1" applyNumberFormat="1"/>
    <xf borderId="0" fillId="0" fontId="3" numFmtId="171" xfId="0" applyFont="1" applyNumberForma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71" xfId="0" applyFont="1" applyNumberFormat="1"/>
    <xf quotePrefix="1"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172" xfId="0" applyAlignment="1" applyFont="1" applyNumberFormat="1">
      <alignment horizontal="right"/>
    </xf>
    <xf borderId="0" fillId="0" fontId="11" numFmtId="0" xfId="0" applyFont="1"/>
    <xf borderId="2" fillId="0" fontId="12" numFmtId="0" xfId="0" applyBorder="1" applyFont="1"/>
    <xf borderId="5" fillId="0" fontId="2" numFmtId="0" xfId="0" applyAlignment="1" applyBorder="1" applyFont="1">
      <alignment horizontal="center"/>
    </xf>
    <xf borderId="6" fillId="0" fontId="13" numFmtId="0" xfId="0" applyBorder="1" applyFont="1"/>
    <xf borderId="11" fillId="3" fontId="2" numFmtId="164" xfId="0" applyBorder="1" applyFill="1" applyFont="1" applyNumberFormat="1"/>
    <xf borderId="5" fillId="0" fontId="14" numFmtId="164" xfId="0" applyBorder="1" applyFont="1" applyNumberFormat="1"/>
    <xf quotePrefix="1" borderId="6" fillId="0" fontId="15" numFmtId="0" xfId="0" applyBorder="1" applyFont="1"/>
    <xf borderId="1" fillId="3" fontId="2" numFmtId="166" xfId="0" applyBorder="1" applyFont="1" applyNumberFormat="1"/>
    <xf borderId="5" fillId="0" fontId="2" numFmtId="164" xfId="0" applyBorder="1" applyFont="1" applyNumberFormat="1"/>
    <xf borderId="1" fillId="3" fontId="2" numFmtId="10" xfId="0" applyBorder="1" applyFont="1" applyNumberFormat="1"/>
    <xf borderId="1" fillId="3" fontId="2" numFmtId="0" xfId="0" applyBorder="1" applyFont="1"/>
    <xf borderId="7" fillId="0" fontId="2" numFmtId="164" xfId="0" applyBorder="1" applyFont="1" applyNumberFormat="1"/>
    <xf borderId="1" fillId="3" fontId="2" numFmtId="170" xfId="0" applyBorder="1" applyFont="1" applyNumberFormat="1"/>
    <xf borderId="10" fillId="0" fontId="2" numFmtId="173" xfId="0" applyBorder="1" applyFont="1" applyNumberFormat="1"/>
    <xf borderId="12" fillId="3" fontId="2" numFmtId="174" xfId="0" applyBorder="1" applyFont="1" applyNumberFormat="1"/>
    <xf borderId="10" fillId="0" fontId="2" numFmtId="10" xfId="0" applyBorder="1" applyFont="1" applyNumberFormat="1"/>
    <xf borderId="5" fillId="0" fontId="2" numFmtId="174" xfId="0" applyBorder="1" applyFont="1" applyNumberFormat="1"/>
    <xf borderId="10" fillId="0" fontId="2" numFmtId="174" xfId="0" applyBorder="1" applyFont="1" applyNumberFormat="1"/>
    <xf borderId="9" fillId="0" fontId="2" numFmtId="164" xfId="0" applyBorder="1" applyFont="1" applyNumberFormat="1"/>
    <xf borderId="0" fillId="0" fontId="2" numFmtId="17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4.25"/>
    <col customWidth="1" min="2" max="2" width="10.13"/>
    <col customWidth="1" min="3" max="3" width="11.13"/>
    <col customWidth="1" min="4" max="6" width="10.13"/>
    <col customWidth="1" min="7" max="8" width="11.13"/>
    <col customWidth="1" min="9" max="9" width="10.13"/>
    <col customWidth="1" min="10" max="14" width="9.13"/>
    <col customWidth="1" min="15" max="29" width="8.5"/>
  </cols>
  <sheetData>
    <row r="1" ht="12.0" customHeight="1">
      <c r="B1" s="1" t="s">
        <v>0</v>
      </c>
      <c r="E1" s="2"/>
      <c r="F1" s="2"/>
      <c r="G1" s="1" t="s">
        <v>1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2.0" customHeight="1">
      <c r="B2" s="3" t="s">
        <v>2</v>
      </c>
      <c r="E2" s="4">
        <v>10000.0</v>
      </c>
      <c r="G2" s="5" t="s">
        <v>3</v>
      </c>
      <c r="H2" s="6">
        <v>0.06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2.0" customHeight="1">
      <c r="B3" s="3" t="s">
        <v>4</v>
      </c>
      <c r="E3" s="7">
        <v>0.05</v>
      </c>
      <c r="G3" s="5" t="s">
        <v>5</v>
      </c>
      <c r="H3" s="8">
        <v>0.0625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2.0" customHeight="1">
      <c r="B4" s="3" t="s">
        <v>6</v>
      </c>
      <c r="E4" s="7">
        <v>0.05</v>
      </c>
      <c r="G4" s="5" t="s">
        <v>7</v>
      </c>
      <c r="H4" s="8">
        <v>0.02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2.0" customHeight="1">
      <c r="B5" s="3" t="s">
        <v>8</v>
      </c>
      <c r="E5" s="7">
        <v>0.0</v>
      </c>
      <c r="G5" s="5" t="s">
        <v>9</v>
      </c>
      <c r="H5" s="6">
        <v>0.08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2.0" customHeight="1">
      <c r="G6" s="5" t="s">
        <v>10</v>
      </c>
      <c r="H6" s="7">
        <v>0.02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2.0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2.0" customHeight="1">
      <c r="B8" s="1" t="s">
        <v>11</v>
      </c>
      <c r="C8" s="9">
        <v>0.0</v>
      </c>
      <c r="D8" s="10">
        <v>1.0</v>
      </c>
      <c r="E8" s="10">
        <v>2.0</v>
      </c>
      <c r="F8" s="10">
        <v>3.0</v>
      </c>
      <c r="G8" s="10">
        <v>4.0</v>
      </c>
      <c r="H8" s="10">
        <v>5.0</v>
      </c>
      <c r="I8" s="10">
        <v>6.0</v>
      </c>
    </row>
    <row r="9" ht="12.0" customHeight="1">
      <c r="B9" s="2" t="s">
        <v>12</v>
      </c>
      <c r="C9" s="2"/>
      <c r="D9" s="4">
        <f>E2</f>
        <v>10000</v>
      </c>
      <c r="E9" s="4">
        <f t="shared" ref="E9:I9" si="1">D9*(1+$H$4)</f>
        <v>10200</v>
      </c>
      <c r="F9" s="4">
        <f t="shared" si="1"/>
        <v>10404</v>
      </c>
      <c r="G9" s="4">
        <f t="shared" si="1"/>
        <v>10612.08</v>
      </c>
      <c r="H9" s="4">
        <f t="shared" si="1"/>
        <v>10824.3216</v>
      </c>
      <c r="I9" s="4">
        <f t="shared" si="1"/>
        <v>11040.80803</v>
      </c>
    </row>
    <row r="10" ht="12.0" customHeight="1">
      <c r="B10" s="11" t="s">
        <v>13</v>
      </c>
      <c r="C10" s="2"/>
      <c r="D10" s="12">
        <f t="shared" ref="D10:I10" si="2">-(D9*$E$3)</f>
        <v>-500</v>
      </c>
      <c r="E10" s="12">
        <f t="shared" si="2"/>
        <v>-510</v>
      </c>
      <c r="F10" s="12">
        <f t="shared" si="2"/>
        <v>-520.2</v>
      </c>
      <c r="G10" s="12">
        <f t="shared" si="2"/>
        <v>-530.604</v>
      </c>
      <c r="H10" s="12">
        <f t="shared" si="2"/>
        <v>-541.21608</v>
      </c>
      <c r="I10" s="12">
        <f t="shared" si="2"/>
        <v>-552.0404016</v>
      </c>
    </row>
    <row r="11" ht="12.0" customHeight="1">
      <c r="B11" s="2" t="s">
        <v>14</v>
      </c>
      <c r="C11" s="2"/>
      <c r="D11" s="4">
        <f t="shared" ref="D11:I11" si="3">SUM(D9:D10)</f>
        <v>9500</v>
      </c>
      <c r="E11" s="4">
        <f t="shared" si="3"/>
        <v>9690</v>
      </c>
      <c r="F11" s="4">
        <f t="shared" si="3"/>
        <v>9883.8</v>
      </c>
      <c r="G11" s="4">
        <f t="shared" si="3"/>
        <v>10081.476</v>
      </c>
      <c r="H11" s="4">
        <f t="shared" si="3"/>
        <v>10283.10552</v>
      </c>
      <c r="I11" s="4">
        <f t="shared" si="3"/>
        <v>10488.76763</v>
      </c>
    </row>
    <row r="12" ht="12.0" customHeight="1">
      <c r="B12" s="1" t="s">
        <v>15</v>
      </c>
      <c r="C12" s="2"/>
      <c r="D12" s="12">
        <f t="shared" ref="D12:I12" si="4">-D11*$E$4</f>
        <v>-475</v>
      </c>
      <c r="E12" s="12">
        <f t="shared" si="4"/>
        <v>-484.5</v>
      </c>
      <c r="F12" s="12">
        <f t="shared" si="4"/>
        <v>-494.19</v>
      </c>
      <c r="G12" s="12">
        <f t="shared" si="4"/>
        <v>-504.0738</v>
      </c>
      <c r="H12" s="12">
        <f t="shared" si="4"/>
        <v>-514.155276</v>
      </c>
      <c r="I12" s="12">
        <f t="shared" si="4"/>
        <v>-524.4383815</v>
      </c>
    </row>
    <row r="13" ht="12.0" customHeight="1">
      <c r="B13" s="2" t="s">
        <v>16</v>
      </c>
      <c r="C13" s="2"/>
      <c r="D13" s="4">
        <f t="shared" ref="D13:I13" si="5">SUM(D11:D12)</f>
        <v>9025</v>
      </c>
      <c r="E13" s="4">
        <f t="shared" si="5"/>
        <v>9205.5</v>
      </c>
      <c r="F13" s="4">
        <f t="shared" si="5"/>
        <v>9389.61</v>
      </c>
      <c r="G13" s="4">
        <f t="shared" si="5"/>
        <v>9577.4022</v>
      </c>
      <c r="H13" s="4">
        <f t="shared" si="5"/>
        <v>9768.950244</v>
      </c>
      <c r="I13" s="4">
        <f t="shared" si="5"/>
        <v>9964.329249</v>
      </c>
    </row>
    <row r="14" ht="12.0" customHeight="1" outlineLevel="1">
      <c r="B14" s="11" t="s">
        <v>17</v>
      </c>
      <c r="C14" s="2"/>
      <c r="D14" s="12">
        <f t="shared" ref="D14:I14" si="6">-D13*$E$5</f>
        <v>0</v>
      </c>
      <c r="E14" s="12">
        <f t="shared" si="6"/>
        <v>0</v>
      </c>
      <c r="F14" s="12">
        <f t="shared" si="6"/>
        <v>0</v>
      </c>
      <c r="G14" s="12">
        <f t="shared" si="6"/>
        <v>0</v>
      </c>
      <c r="H14" s="12">
        <f t="shared" si="6"/>
        <v>0</v>
      </c>
      <c r="I14" s="12">
        <f t="shared" si="6"/>
        <v>0</v>
      </c>
    </row>
    <row r="15" ht="12.0" customHeight="1" outlineLevel="1">
      <c r="B15" s="2" t="s">
        <v>18</v>
      </c>
      <c r="C15" s="2"/>
      <c r="D15" s="4">
        <f t="shared" ref="D15:I15" si="7">SUM(D13:D14)</f>
        <v>9025</v>
      </c>
      <c r="E15" s="4">
        <f t="shared" si="7"/>
        <v>9205.5</v>
      </c>
      <c r="F15" s="4">
        <f t="shared" si="7"/>
        <v>9389.61</v>
      </c>
      <c r="G15" s="4">
        <f t="shared" si="7"/>
        <v>9577.4022</v>
      </c>
      <c r="H15" s="4">
        <f t="shared" si="7"/>
        <v>9768.950244</v>
      </c>
      <c r="I15" s="4">
        <f t="shared" si="7"/>
        <v>9964.329249</v>
      </c>
    </row>
    <row r="16" ht="12.0" customHeight="1"/>
    <row r="17" ht="12.0" customHeight="1" outlineLevel="1">
      <c r="B17" s="2"/>
      <c r="C17" s="2"/>
      <c r="D17" s="4"/>
      <c r="E17" s="4"/>
      <c r="F17" s="4"/>
      <c r="G17" s="5" t="s">
        <v>19</v>
      </c>
      <c r="H17" s="4">
        <f>I13</f>
        <v>9964.329249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2.0" customHeight="1" outlineLevel="1">
      <c r="B18" s="2"/>
      <c r="C18" s="2"/>
      <c r="D18" s="2"/>
      <c r="E18" s="2"/>
      <c r="F18" s="2"/>
      <c r="G18" s="5" t="s">
        <v>20</v>
      </c>
      <c r="H18" s="8">
        <f>H3</f>
        <v>0.0625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2.0" customHeight="1" outlineLevel="1">
      <c r="B19" s="2"/>
      <c r="C19" s="2"/>
      <c r="D19" s="2"/>
      <c r="E19" s="2"/>
      <c r="F19" s="2"/>
      <c r="G19" s="5" t="s">
        <v>21</v>
      </c>
      <c r="H19" s="4">
        <f>H17/H18</f>
        <v>159429.268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2.0" customHeight="1" outlineLevel="1">
      <c r="B20" s="2"/>
      <c r="C20" s="2"/>
      <c r="D20" s="2"/>
      <c r="E20" s="2"/>
      <c r="F20" s="2"/>
      <c r="G20" s="5" t="s">
        <v>22</v>
      </c>
      <c r="H20" s="12">
        <f>H19*$H$6</f>
        <v>3188.58536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2.0" customHeight="1" outlineLevel="1">
      <c r="B21" s="2"/>
      <c r="C21" s="2"/>
      <c r="D21" s="2"/>
      <c r="E21" s="2"/>
      <c r="F21" s="2"/>
      <c r="G21" s="5" t="s">
        <v>23</v>
      </c>
      <c r="H21" s="4">
        <f>H19-H20</f>
        <v>156240.6826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2.0" customHeight="1">
      <c r="B22" s="2"/>
      <c r="C22" s="2"/>
      <c r="D22" s="2"/>
      <c r="E22" s="2"/>
      <c r="F22" s="2"/>
      <c r="G22" s="5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2.0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2.0" customHeight="1" outlineLevel="1">
      <c r="B24" s="1" t="s">
        <v>24</v>
      </c>
      <c r="C24" s="2"/>
      <c r="D24" s="2"/>
      <c r="E24" s="2"/>
      <c r="F24" s="2"/>
      <c r="G24" s="2"/>
      <c r="H24" s="2"/>
      <c r="I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2.0" customHeight="1" outlineLevel="1">
      <c r="B25" s="13" t="s">
        <v>25</v>
      </c>
      <c r="D25" s="2"/>
      <c r="E25" s="2"/>
      <c r="F25" s="2"/>
      <c r="G25" s="2"/>
      <c r="H25" s="2"/>
      <c r="I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2.0" customHeight="1" outlineLevel="1">
      <c r="B26" s="2" t="s">
        <v>16</v>
      </c>
      <c r="C26" s="4">
        <f>D13</f>
        <v>9025</v>
      </c>
      <c r="D26" s="2"/>
      <c r="E26" s="2"/>
      <c r="F26" s="2"/>
      <c r="G26" s="2"/>
      <c r="H26" s="2"/>
      <c r="I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2.0" customHeight="1" outlineLevel="1">
      <c r="B27" s="14" t="s">
        <v>26</v>
      </c>
      <c r="C27" s="8">
        <f>H5-H4</f>
        <v>0.06</v>
      </c>
      <c r="D27" s="2" t="s">
        <v>27</v>
      </c>
      <c r="E27" s="2"/>
      <c r="F27" s="2"/>
      <c r="G27" s="2"/>
      <c r="H27" s="2"/>
      <c r="I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2.0" customHeight="1" outlineLevel="1">
      <c r="B28" s="14" t="s">
        <v>28</v>
      </c>
      <c r="C28" s="4">
        <f>C26/C27</f>
        <v>150416.6667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2.0" customHeight="1" outlineLevel="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2.0" customHeight="1" outlineLevel="1">
      <c r="B30" s="13" t="s">
        <v>29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2.0" customHeight="1" outlineLevel="1">
      <c r="B31" s="2" t="s">
        <v>30</v>
      </c>
      <c r="D31" s="4">
        <f t="shared" ref="D31:G31" si="8">D13</f>
        <v>9025</v>
      </c>
      <c r="E31" s="4">
        <f t="shared" si="8"/>
        <v>9205.5</v>
      </c>
      <c r="F31" s="4">
        <f t="shared" si="8"/>
        <v>9389.61</v>
      </c>
      <c r="G31" s="4">
        <f t="shared" si="8"/>
        <v>9577.4022</v>
      </c>
      <c r="H31" s="4">
        <f>H15+H21</f>
        <v>166009.6329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2.0" customHeight="1" outlineLevel="1">
      <c r="B32" s="2" t="s">
        <v>31</v>
      </c>
      <c r="C32" s="8">
        <f>H5</f>
        <v>0.08</v>
      </c>
      <c r="D32" s="2"/>
      <c r="E32" s="7"/>
      <c r="F32" s="7"/>
      <c r="G32" s="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2.0" customHeight="1" outlineLevel="1">
      <c r="B33" s="2" t="s">
        <v>32</v>
      </c>
      <c r="C33" s="4">
        <f t="array" ref="C33">NPV(C32,D31:H31)</f>
        <v>143725.5323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2.0" customHeight="1" outlineLevel="1">
      <c r="B34" s="2"/>
      <c r="C34" s="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2.0" customHeight="1" outlineLevel="1">
      <c r="B35" s="2" t="s">
        <v>33</v>
      </c>
      <c r="C35" s="8">
        <f>D13/C33</f>
        <v>0.06279329673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2.0" customHeight="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2.0" customHeight="1" outlineLevel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2.0" customHeight="1" outlineLevel="1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2.0" customHeight="1" outlineLevel="1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2.0" customHeight="1" outlineLevel="1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2.0" customHeight="1" outlineLevel="1"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2.0" customHeigh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2.0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2.0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2.0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2.0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2.0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2.0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 outlineLevelRow="1"/>
  <cols>
    <col customWidth="1" min="1" max="1" width="1.0"/>
    <col customWidth="1" min="2" max="2" width="10.13"/>
    <col customWidth="1" min="3" max="3" width="10.75"/>
    <col customWidth="1" min="4" max="4" width="9.13"/>
    <col customWidth="1" min="5" max="5" width="10.5"/>
    <col customWidth="1" min="6" max="7" width="9.13"/>
    <col customWidth="1" min="8" max="8" width="10.5"/>
    <col customWidth="1" min="9" max="9" width="9.13"/>
    <col customWidth="1" min="10" max="10" width="17.88"/>
    <col customWidth="1" min="11" max="11" width="10.13"/>
    <col customWidth="1" min="12" max="14" width="9.13"/>
    <col customWidth="1" min="15" max="31" width="8.5"/>
  </cols>
  <sheetData>
    <row r="1" ht="12.0" customHeight="1">
      <c r="B1" s="1" t="s">
        <v>0</v>
      </c>
      <c r="E1" s="2"/>
      <c r="F1" s="2"/>
      <c r="G1" s="1" t="s">
        <v>1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2.0" customHeight="1">
      <c r="B2" s="3" t="s">
        <v>2</v>
      </c>
      <c r="E2" s="4">
        <v>10000.0</v>
      </c>
      <c r="G2" s="5" t="s">
        <v>3</v>
      </c>
      <c r="H2" s="6">
        <v>0.06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2.0" customHeight="1">
      <c r="B3" s="3" t="s">
        <v>4</v>
      </c>
      <c r="E3" s="7">
        <v>0.05</v>
      </c>
      <c r="G3" s="5" t="s">
        <v>5</v>
      </c>
      <c r="H3" s="8">
        <v>0.0625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2.0" customHeight="1">
      <c r="B4" s="3" t="s">
        <v>6</v>
      </c>
      <c r="E4" s="7">
        <v>0.05</v>
      </c>
      <c r="G4" s="5" t="s">
        <v>7</v>
      </c>
      <c r="H4" s="8">
        <v>0.02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2.0" customHeight="1">
      <c r="B5" s="3" t="s">
        <v>8</v>
      </c>
      <c r="E5" s="7">
        <v>0.0</v>
      </c>
      <c r="G5" s="5" t="s">
        <v>9</v>
      </c>
      <c r="H5" s="6">
        <v>0.08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2.0" customHeight="1">
      <c r="G6" s="5" t="s">
        <v>10</v>
      </c>
      <c r="H6" s="7">
        <v>0.02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2.0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2.0" customHeight="1">
      <c r="B8" s="1" t="s">
        <v>11</v>
      </c>
      <c r="C8" s="9">
        <v>0.0</v>
      </c>
      <c r="D8" s="10">
        <v>1.0</v>
      </c>
      <c r="E8" s="10">
        <v>2.0</v>
      </c>
      <c r="F8" s="10">
        <v>3.0</v>
      </c>
      <c r="G8" s="10">
        <v>4.0</v>
      </c>
      <c r="H8" s="10">
        <v>5.0</v>
      </c>
      <c r="I8" s="10">
        <v>6.0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12.0" customHeight="1">
      <c r="B9" s="2" t="s">
        <v>12</v>
      </c>
      <c r="C9" s="2"/>
      <c r="D9" s="4">
        <f>E2</f>
        <v>10000</v>
      </c>
      <c r="E9" s="4">
        <f t="shared" ref="E9:I9" si="1">D9*(1+$H$4)</f>
        <v>10200</v>
      </c>
      <c r="F9" s="4">
        <f t="shared" si="1"/>
        <v>10404</v>
      </c>
      <c r="G9" s="4">
        <f t="shared" si="1"/>
        <v>10612.08</v>
      </c>
      <c r="H9" s="4">
        <f t="shared" si="1"/>
        <v>10824.3216</v>
      </c>
      <c r="I9" s="4">
        <f t="shared" si="1"/>
        <v>11040.80803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12.0" customHeight="1">
      <c r="B10" s="11" t="s">
        <v>13</v>
      </c>
      <c r="C10" s="2"/>
      <c r="D10" s="12">
        <f t="shared" ref="D10:I10" si="2">-(D9*$E$3)</f>
        <v>-500</v>
      </c>
      <c r="E10" s="12">
        <f t="shared" si="2"/>
        <v>-510</v>
      </c>
      <c r="F10" s="12">
        <f t="shared" si="2"/>
        <v>-520.2</v>
      </c>
      <c r="G10" s="12">
        <f t="shared" si="2"/>
        <v>-530.604</v>
      </c>
      <c r="H10" s="12">
        <f t="shared" si="2"/>
        <v>-541.21608</v>
      </c>
      <c r="I10" s="12">
        <f t="shared" si="2"/>
        <v>-552.0404016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ht="12.0" customHeight="1">
      <c r="B11" s="2" t="s">
        <v>14</v>
      </c>
      <c r="C11" s="2"/>
      <c r="D11" s="4">
        <f t="shared" ref="D11:I11" si="3">SUM(D9:D10)</f>
        <v>9500</v>
      </c>
      <c r="E11" s="4">
        <f t="shared" si="3"/>
        <v>9690</v>
      </c>
      <c r="F11" s="4">
        <f t="shared" si="3"/>
        <v>9883.8</v>
      </c>
      <c r="G11" s="4">
        <f t="shared" si="3"/>
        <v>10081.476</v>
      </c>
      <c r="H11" s="4">
        <f t="shared" si="3"/>
        <v>10283.10552</v>
      </c>
      <c r="I11" s="4">
        <f t="shared" si="3"/>
        <v>10488.76763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12.0" customHeight="1">
      <c r="B12" s="1" t="s">
        <v>15</v>
      </c>
      <c r="C12" s="2"/>
      <c r="D12" s="12">
        <f t="shared" ref="D12:I12" si="4">-D11*$E$4</f>
        <v>-475</v>
      </c>
      <c r="E12" s="12">
        <f t="shared" si="4"/>
        <v>-484.5</v>
      </c>
      <c r="F12" s="12">
        <f t="shared" si="4"/>
        <v>-494.19</v>
      </c>
      <c r="G12" s="12">
        <f t="shared" si="4"/>
        <v>-504.0738</v>
      </c>
      <c r="H12" s="12">
        <f t="shared" si="4"/>
        <v>-514.155276</v>
      </c>
      <c r="I12" s="12">
        <f t="shared" si="4"/>
        <v>-524.4383815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12.0" customHeight="1">
      <c r="B13" s="2" t="s">
        <v>16</v>
      </c>
      <c r="C13" s="2"/>
      <c r="D13" s="4">
        <f t="shared" ref="D13:I13" si="5">SUM(D11:D12)</f>
        <v>9025</v>
      </c>
      <c r="E13" s="4">
        <f t="shared" si="5"/>
        <v>9205.5</v>
      </c>
      <c r="F13" s="4">
        <f t="shared" si="5"/>
        <v>9389.61</v>
      </c>
      <c r="G13" s="4">
        <f t="shared" si="5"/>
        <v>9577.4022</v>
      </c>
      <c r="H13" s="4">
        <f t="shared" si="5"/>
        <v>9768.950244</v>
      </c>
      <c r="I13" s="4">
        <f t="shared" si="5"/>
        <v>9964.329249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12.0" customHeight="1" outlineLevel="1">
      <c r="B14" s="11" t="s">
        <v>17</v>
      </c>
      <c r="C14" s="2"/>
      <c r="D14" s="12">
        <f t="shared" ref="D14:I14" si="6">-D13*$E$5</f>
        <v>0</v>
      </c>
      <c r="E14" s="12">
        <f t="shared" si="6"/>
        <v>0</v>
      </c>
      <c r="F14" s="12">
        <f t="shared" si="6"/>
        <v>0</v>
      </c>
      <c r="G14" s="12">
        <f t="shared" si="6"/>
        <v>0</v>
      </c>
      <c r="H14" s="12">
        <f t="shared" si="6"/>
        <v>0</v>
      </c>
      <c r="I14" s="12">
        <f t="shared" si="6"/>
        <v>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ht="12.0" customHeight="1" outlineLevel="1">
      <c r="B15" s="2" t="s">
        <v>18</v>
      </c>
      <c r="C15" s="2"/>
      <c r="D15" s="4">
        <f t="shared" ref="D15:I15" si="7">SUM(D13:D14)</f>
        <v>9025</v>
      </c>
      <c r="E15" s="4">
        <f t="shared" si="7"/>
        <v>9205.5</v>
      </c>
      <c r="F15" s="4">
        <f t="shared" si="7"/>
        <v>9389.61</v>
      </c>
      <c r="G15" s="4">
        <f t="shared" si="7"/>
        <v>9577.4022</v>
      </c>
      <c r="H15" s="4">
        <f t="shared" si="7"/>
        <v>9768.950244</v>
      </c>
      <c r="I15" s="4">
        <f t="shared" si="7"/>
        <v>9964.329249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ht="12.0" customHeight="1"/>
    <row r="17" ht="12.0" customHeight="1" outlineLevel="1">
      <c r="B17" s="2"/>
      <c r="C17" s="2"/>
      <c r="D17" s="4"/>
      <c r="E17" s="4"/>
      <c r="F17" s="4"/>
      <c r="G17" s="5" t="s">
        <v>19</v>
      </c>
      <c r="H17" s="4">
        <f>I13</f>
        <v>9964.329249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ht="12.0" customHeight="1" outlineLevel="1">
      <c r="B18" s="2"/>
      <c r="C18" s="2"/>
      <c r="D18" s="2"/>
      <c r="E18" s="2"/>
      <c r="F18" s="2"/>
      <c r="G18" s="5" t="s">
        <v>20</v>
      </c>
      <c r="H18" s="8">
        <f>H3</f>
        <v>0.0625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2.0" customHeight="1" outlineLevel="1">
      <c r="B19" s="2"/>
      <c r="C19" s="2"/>
      <c r="D19" s="2"/>
      <c r="E19" s="2"/>
      <c r="F19" s="2"/>
      <c r="G19" s="5" t="s">
        <v>21</v>
      </c>
      <c r="H19" s="4">
        <f>H17/H18</f>
        <v>159429.268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2.0" customHeight="1" outlineLevel="1">
      <c r="B20" s="2"/>
      <c r="C20" s="2"/>
      <c r="D20" s="2"/>
      <c r="E20" s="2"/>
      <c r="F20" s="2"/>
      <c r="G20" s="5" t="s">
        <v>22</v>
      </c>
      <c r="H20" s="12">
        <f>H19*$H$6</f>
        <v>3188.58536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2.0" customHeight="1" outlineLevel="1">
      <c r="B21" s="2"/>
      <c r="C21" s="2"/>
      <c r="D21" s="2"/>
      <c r="E21" s="2"/>
      <c r="F21" s="2"/>
      <c r="G21" s="5" t="s">
        <v>23</v>
      </c>
      <c r="H21" s="4">
        <f>H19-H20</f>
        <v>156240.6826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2.0" customHeight="1">
      <c r="B22" s="2"/>
      <c r="C22" s="2"/>
      <c r="D22" s="2"/>
      <c r="E22" s="2"/>
      <c r="F22" s="2"/>
      <c r="G22" s="5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2.0" customHeight="1" outlineLevel="1">
      <c r="B23" s="15" t="s">
        <v>34</v>
      </c>
      <c r="C23" s="16"/>
      <c r="D23" s="16"/>
      <c r="E23" s="16"/>
      <c r="F23" s="16"/>
      <c r="G23" s="16"/>
      <c r="H23" s="17"/>
      <c r="I23" s="2"/>
      <c r="J23" s="18" t="s">
        <v>35</v>
      </c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2.0" customHeight="1" outlineLevel="1">
      <c r="B24" s="19" t="s">
        <v>18</v>
      </c>
      <c r="C24" s="2"/>
      <c r="D24" s="4">
        <f t="shared" ref="D24:G24" si="8">D13</f>
        <v>9025</v>
      </c>
      <c r="E24" s="4">
        <f t="shared" si="8"/>
        <v>9205.5</v>
      </c>
      <c r="F24" s="4">
        <f t="shared" si="8"/>
        <v>9389.61</v>
      </c>
      <c r="G24" s="4">
        <f t="shared" si="8"/>
        <v>9577.4022</v>
      </c>
      <c r="H24" s="20">
        <f>H13+H21</f>
        <v>166009.6329</v>
      </c>
      <c r="I24" s="2"/>
      <c r="J24" s="19" t="s">
        <v>16</v>
      </c>
      <c r="K24" s="20">
        <f>D13</f>
        <v>9025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2.0" customHeight="1" outlineLevel="1">
      <c r="B25" s="19" t="s">
        <v>31</v>
      </c>
      <c r="C25" s="8">
        <f>H5</f>
        <v>0.08</v>
      </c>
      <c r="D25" s="2"/>
      <c r="E25" s="7"/>
      <c r="F25" s="7"/>
      <c r="G25" s="7"/>
      <c r="H25" s="21"/>
      <c r="I25" s="2"/>
      <c r="J25" s="19" t="s">
        <v>36</v>
      </c>
      <c r="K25" s="22">
        <f>H2</f>
        <v>0.06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2.0" customHeight="1" outlineLevel="1">
      <c r="B26" s="23" t="s">
        <v>32</v>
      </c>
      <c r="C26" s="24">
        <f t="array" ref="C26">NPV(C25,D24:H24)</f>
        <v>143725.5323</v>
      </c>
      <c r="D26" s="25"/>
      <c r="E26" s="25"/>
      <c r="F26" s="25"/>
      <c r="G26" s="25"/>
      <c r="H26" s="26"/>
      <c r="I26" s="2"/>
      <c r="J26" s="27" t="s">
        <v>37</v>
      </c>
      <c r="K26" s="28">
        <f>K24/K25</f>
        <v>150416.6667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2.0" customHeight="1" outlineLevel="1">
      <c r="B27" s="2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2.0" customHeight="1" outlineLevel="1">
      <c r="B28" s="2" t="s">
        <v>33</v>
      </c>
      <c r="C28" s="8">
        <f>D13/C26</f>
        <v>0.06279329673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2.0" customHeight="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2.0" customHeight="1" outlineLevel="1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2.0" customHeight="1" outlineLevel="1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2.0" customHeight="1" outlineLevel="1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2.0" customHeight="1" outlineLevel="1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2.0" customHeight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2.0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2.0" customHeight="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2.0" customHeigh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2.0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2.0" customHeigh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2.0" customHeigh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3.13"/>
    <col customWidth="1" min="3" max="3" width="14.5"/>
    <col customWidth="1" min="4" max="4" width="11.88"/>
    <col customWidth="1" min="5" max="26" width="9.13"/>
  </cols>
  <sheetData>
    <row r="1" ht="12.0" customHeight="1"/>
    <row r="2" ht="12.0" customHeight="1">
      <c r="B2" s="29" t="s">
        <v>38</v>
      </c>
    </row>
    <row r="3" ht="12.0" customHeight="1">
      <c r="B3" s="2" t="s">
        <v>39</v>
      </c>
      <c r="C3" s="30">
        <v>80000.0</v>
      </c>
    </row>
    <row r="4" ht="12.0" customHeight="1">
      <c r="B4" s="3" t="s">
        <v>40</v>
      </c>
      <c r="C4" s="8">
        <v>0.05</v>
      </c>
    </row>
    <row r="5" ht="12.0" customHeight="1">
      <c r="B5" s="2" t="s">
        <v>41</v>
      </c>
      <c r="C5" s="3">
        <v>25.0</v>
      </c>
      <c r="D5" s="3" t="s">
        <v>42</v>
      </c>
    </row>
    <row r="6" ht="12.0" customHeight="1">
      <c r="B6" s="2" t="s">
        <v>43</v>
      </c>
      <c r="C6" s="3">
        <v>5.0</v>
      </c>
      <c r="D6" s="3" t="s">
        <v>42</v>
      </c>
    </row>
    <row r="7" ht="12.0" customHeight="1"/>
    <row r="8" ht="12.0" customHeight="1">
      <c r="C8" s="3" t="s">
        <v>44</v>
      </c>
      <c r="D8" s="3" t="s">
        <v>45</v>
      </c>
    </row>
    <row r="9" ht="12.0" customHeight="1">
      <c r="B9" s="3" t="s">
        <v>46</v>
      </c>
      <c r="C9" s="3">
        <f>C5*12</f>
        <v>300</v>
      </c>
      <c r="D9" s="3">
        <f>C6*12</f>
        <v>60</v>
      </c>
    </row>
    <row r="10" ht="12.0" customHeight="1">
      <c r="B10" s="3" t="s">
        <v>47</v>
      </c>
      <c r="C10" s="31">
        <f>C4/12</f>
        <v>0.004166666667</v>
      </c>
      <c r="D10" s="31">
        <f t="shared" ref="D10:D12" si="1">C10</f>
        <v>0.004166666667</v>
      </c>
    </row>
    <row r="11" ht="12.0" customHeight="1">
      <c r="B11" s="3" t="s">
        <v>48</v>
      </c>
      <c r="C11" s="30">
        <f>C3</f>
        <v>80000</v>
      </c>
      <c r="D11" s="30">
        <f t="shared" si="1"/>
        <v>80000</v>
      </c>
    </row>
    <row r="12" ht="12.0" customHeight="1">
      <c r="B12" s="3" t="s">
        <v>49</v>
      </c>
      <c r="C12" s="32">
        <f>PMT(C10,C9,C11,C13)</f>
        <v>-467.6720332</v>
      </c>
      <c r="D12" s="33">
        <f t="shared" si="1"/>
        <v>-467.6720332</v>
      </c>
    </row>
    <row r="13" ht="12.0" customHeight="1">
      <c r="B13" s="3" t="s">
        <v>50</v>
      </c>
      <c r="C13" s="30">
        <v>0.0</v>
      </c>
      <c r="D13" s="34">
        <f>FV(D10,D9,D12,D11)</f>
        <v>-70864.15125</v>
      </c>
    </row>
    <row r="14" ht="12.0" customHeight="1">
      <c r="C14" s="30"/>
      <c r="D14" s="30"/>
    </row>
    <row r="15" ht="12.0" customHeight="1">
      <c r="B15" s="3" t="s">
        <v>51</v>
      </c>
      <c r="C15" s="30"/>
      <c r="D15" s="30"/>
    </row>
    <row r="16" ht="12.0" customHeight="1">
      <c r="C16" s="30"/>
      <c r="D16" s="30"/>
    </row>
    <row r="17" ht="12.0" customHeight="1">
      <c r="B17" s="3" t="s">
        <v>52</v>
      </c>
    </row>
    <row r="18" ht="12.0" customHeight="1">
      <c r="B18" s="3" t="s">
        <v>53</v>
      </c>
      <c r="D18" s="32">
        <f>C12*12</f>
        <v>-5612.064398</v>
      </c>
    </row>
    <row r="19" ht="12.0" customHeight="1">
      <c r="D19" s="33"/>
    </row>
    <row r="20" ht="12.0" customHeight="1">
      <c r="B20" s="3" t="s">
        <v>54</v>
      </c>
      <c r="D20" s="33"/>
    </row>
    <row r="21" ht="12.0" customHeight="1">
      <c r="B21" s="3" t="s">
        <v>55</v>
      </c>
      <c r="D21" s="35">
        <f>-D18/C3</f>
        <v>0.07015080498</v>
      </c>
    </row>
    <row r="22" ht="12.0" customHeight="1">
      <c r="C22" s="30"/>
    </row>
    <row r="23" ht="12.0" customHeight="1">
      <c r="C23" s="30"/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 outlineLevelRow="1"/>
  <cols>
    <col customWidth="1" min="1" max="1" width="4.5"/>
    <col customWidth="1" min="2" max="2" width="10.13"/>
    <col customWidth="1" min="3" max="3" width="10.75"/>
    <col customWidth="1" min="4" max="4" width="11.25"/>
    <col customWidth="1" min="5" max="5" width="10.5"/>
    <col customWidth="1" min="6" max="7" width="9.13"/>
    <col customWidth="1" min="8" max="8" width="10.5"/>
    <col customWidth="1" min="9" max="10" width="9.13"/>
    <col customWidth="1" min="11" max="11" width="10.13"/>
    <col customWidth="1" min="12" max="12" width="11.5"/>
    <col customWidth="1" min="13" max="13" width="7.5"/>
    <col customWidth="1" min="14" max="14" width="9.13"/>
    <col customWidth="1" min="15" max="15" width="8.5"/>
    <col customWidth="1" min="16" max="16" width="10.13"/>
    <col customWidth="1" min="17" max="34" width="8.5"/>
  </cols>
  <sheetData>
    <row r="1" ht="12.0" customHeight="1">
      <c r="B1" s="1" t="s">
        <v>0</v>
      </c>
      <c r="E1" s="2"/>
      <c r="F1" s="2"/>
      <c r="G1" s="1" t="s">
        <v>1</v>
      </c>
      <c r="H1" s="1"/>
      <c r="I1" s="2"/>
      <c r="J1" s="1" t="s">
        <v>56</v>
      </c>
      <c r="K1" s="2"/>
      <c r="L1" s="2"/>
      <c r="Q1" s="2"/>
      <c r="U1" s="2"/>
    </row>
    <row r="2" ht="12.0" customHeight="1">
      <c r="B2" s="3" t="s">
        <v>2</v>
      </c>
      <c r="E2" s="4">
        <v>10000.0</v>
      </c>
      <c r="G2" s="5" t="s">
        <v>3</v>
      </c>
      <c r="H2" s="8">
        <v>0.06</v>
      </c>
      <c r="J2" s="3" t="s">
        <v>57</v>
      </c>
      <c r="L2" s="30">
        <f>C33</f>
        <v>143725.5323</v>
      </c>
      <c r="M2" s="3" t="s">
        <v>58</v>
      </c>
      <c r="Q2" s="2"/>
      <c r="U2" s="2"/>
    </row>
    <row r="3" ht="12.0" customHeight="1">
      <c r="B3" s="3" t="s">
        <v>4</v>
      </c>
      <c r="E3" s="7">
        <v>0.05</v>
      </c>
      <c r="G3" s="5" t="s">
        <v>5</v>
      </c>
      <c r="H3" s="8">
        <v>0.0625</v>
      </c>
      <c r="J3" s="2" t="s">
        <v>39</v>
      </c>
      <c r="L3" s="30">
        <f>L2*M3</f>
        <v>100607.8726</v>
      </c>
      <c r="M3" s="36">
        <v>0.7</v>
      </c>
      <c r="N3" s="2" t="s">
        <v>59</v>
      </c>
      <c r="Q3" s="2"/>
      <c r="U3" s="2"/>
    </row>
    <row r="4" ht="12.0" customHeight="1">
      <c r="B4" s="3" t="s">
        <v>6</v>
      </c>
      <c r="E4" s="7">
        <v>0.05</v>
      </c>
      <c r="G4" s="5" t="s">
        <v>7</v>
      </c>
      <c r="H4" s="8">
        <v>0.02</v>
      </c>
      <c r="J4" s="3" t="s">
        <v>40</v>
      </c>
      <c r="L4" s="6">
        <v>0.05</v>
      </c>
      <c r="Q4" s="2"/>
      <c r="U4" s="2"/>
    </row>
    <row r="5" ht="12.0" customHeight="1">
      <c r="B5" s="3" t="s">
        <v>8</v>
      </c>
      <c r="E5" s="7">
        <v>0.0</v>
      </c>
      <c r="G5" s="5" t="s">
        <v>9</v>
      </c>
      <c r="H5" s="6">
        <v>0.08</v>
      </c>
      <c r="J5" s="2" t="s">
        <v>60</v>
      </c>
      <c r="L5" s="37">
        <v>25.0</v>
      </c>
      <c r="Q5" s="2"/>
      <c r="U5" s="2"/>
    </row>
    <row r="6" ht="12.0" customHeight="1">
      <c r="G6" s="5" t="s">
        <v>10</v>
      </c>
      <c r="H6" s="7">
        <v>0.02</v>
      </c>
      <c r="J6" s="2" t="s">
        <v>61</v>
      </c>
      <c r="L6" s="37">
        <v>5.0</v>
      </c>
      <c r="M6" s="2"/>
      <c r="Q6" s="2"/>
      <c r="R6" s="2"/>
      <c r="S6" s="2"/>
      <c r="T6" s="2"/>
      <c r="U6" s="2"/>
    </row>
    <row r="7" ht="12.0" customHeight="1">
      <c r="A7" s="29" t="s">
        <v>62</v>
      </c>
      <c r="B7" s="2"/>
      <c r="C7" s="2"/>
      <c r="D7" s="2"/>
      <c r="E7" s="2"/>
      <c r="F7" s="2"/>
      <c r="G7" s="2"/>
      <c r="H7" s="2"/>
      <c r="I7" s="2"/>
      <c r="J7" s="2" t="s">
        <v>63</v>
      </c>
      <c r="L7" s="38">
        <f>D13/-D16</f>
        <v>1.278740987</v>
      </c>
      <c r="M7" s="2"/>
      <c r="N7" s="2"/>
      <c r="O7" s="2"/>
      <c r="P7" s="2"/>
      <c r="Q7" s="2"/>
      <c r="R7" s="2"/>
      <c r="S7" s="2"/>
      <c r="T7" s="2"/>
      <c r="U7" s="2"/>
    </row>
    <row r="8" ht="12.0" customHeight="1">
      <c r="B8" s="1" t="s">
        <v>11</v>
      </c>
      <c r="C8" s="9">
        <v>0.0</v>
      </c>
      <c r="D8" s="10">
        <v>1.0</v>
      </c>
      <c r="E8" s="10">
        <v>2.0</v>
      </c>
      <c r="F8" s="10">
        <v>3.0</v>
      </c>
      <c r="G8" s="10">
        <v>4.0</v>
      </c>
      <c r="H8" s="10">
        <v>5.0</v>
      </c>
      <c r="I8" s="10">
        <v>6.0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ht="12.0" customHeight="1">
      <c r="B9" s="2" t="s">
        <v>12</v>
      </c>
      <c r="C9" s="2"/>
      <c r="D9" s="4">
        <f>E2</f>
        <v>10000</v>
      </c>
      <c r="E9" s="4">
        <f t="shared" ref="E9:I9" si="1">D9*(1+$H$4)</f>
        <v>10200</v>
      </c>
      <c r="F9" s="4">
        <f t="shared" si="1"/>
        <v>10404</v>
      </c>
      <c r="G9" s="4">
        <f t="shared" si="1"/>
        <v>10612.08</v>
      </c>
      <c r="H9" s="4">
        <f t="shared" si="1"/>
        <v>10824.3216</v>
      </c>
      <c r="I9" s="4">
        <f t="shared" si="1"/>
        <v>11040.80803</v>
      </c>
      <c r="K9" s="39">
        <f>pmt(L4/12,L5*12,L3,0)</f>
        <v>-588.1436044</v>
      </c>
      <c r="L9" s="40" t="s">
        <v>49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12.0" customHeight="1">
      <c r="B10" s="11" t="s">
        <v>13</v>
      </c>
      <c r="C10" s="2"/>
      <c r="D10" s="12">
        <f t="shared" ref="D10:I10" si="2">-(D9*$E$3)</f>
        <v>-500</v>
      </c>
      <c r="E10" s="12">
        <f t="shared" si="2"/>
        <v>-510</v>
      </c>
      <c r="F10" s="12">
        <f t="shared" si="2"/>
        <v>-520.2</v>
      </c>
      <c r="G10" s="12">
        <f t="shared" si="2"/>
        <v>-530.604</v>
      </c>
      <c r="H10" s="12">
        <f t="shared" si="2"/>
        <v>-541.21608</v>
      </c>
      <c r="I10" s="12">
        <f t="shared" si="2"/>
        <v>-552.0404016</v>
      </c>
      <c r="K10" s="39">
        <f>K9*12</f>
        <v>-7057.723253</v>
      </c>
      <c r="L10" s="40" t="s">
        <v>64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ht="12.0" customHeight="1">
      <c r="B11" s="2" t="s">
        <v>14</v>
      </c>
      <c r="C11" s="2"/>
      <c r="D11" s="4">
        <f t="shared" ref="D11:I11" si="3">SUM(D9:D10)</f>
        <v>9500</v>
      </c>
      <c r="E11" s="4">
        <f t="shared" si="3"/>
        <v>9690</v>
      </c>
      <c r="F11" s="4">
        <f t="shared" si="3"/>
        <v>9883.8</v>
      </c>
      <c r="G11" s="4">
        <f t="shared" si="3"/>
        <v>10081.476</v>
      </c>
      <c r="H11" s="4">
        <f t="shared" si="3"/>
        <v>10283.10552</v>
      </c>
      <c r="I11" s="4">
        <f t="shared" si="3"/>
        <v>10488.76763</v>
      </c>
      <c r="J11" s="4"/>
      <c r="K11" s="4"/>
      <c r="L11" s="41" t="s">
        <v>65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12.0" customHeight="1">
      <c r="B12" s="1" t="s">
        <v>15</v>
      </c>
      <c r="C12" s="2"/>
      <c r="D12" s="12">
        <f t="shared" ref="D12:I12" si="4">-D11*$E$4</f>
        <v>-475</v>
      </c>
      <c r="E12" s="12">
        <f t="shared" si="4"/>
        <v>-484.5</v>
      </c>
      <c r="F12" s="12">
        <f t="shared" si="4"/>
        <v>-494.19</v>
      </c>
      <c r="G12" s="12">
        <f t="shared" si="4"/>
        <v>-504.0738</v>
      </c>
      <c r="H12" s="12">
        <f t="shared" si="4"/>
        <v>-514.155276</v>
      </c>
      <c r="I12" s="12">
        <f t="shared" si="4"/>
        <v>-524.4383815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ht="12.0" customHeight="1">
      <c r="B13" s="2" t="s">
        <v>16</v>
      </c>
      <c r="C13" s="2"/>
      <c r="D13" s="4">
        <f t="shared" ref="D13:I13" si="5">SUM(D11:D12)</f>
        <v>9025</v>
      </c>
      <c r="E13" s="4">
        <f t="shared" si="5"/>
        <v>9205.5</v>
      </c>
      <c r="F13" s="4">
        <f t="shared" si="5"/>
        <v>9389.61</v>
      </c>
      <c r="G13" s="4">
        <f t="shared" si="5"/>
        <v>9577.4022</v>
      </c>
      <c r="H13" s="4">
        <f t="shared" si="5"/>
        <v>9768.950244</v>
      </c>
      <c r="I13" s="4">
        <f t="shared" si="5"/>
        <v>9964.329249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12.0" customHeight="1" outlineLevel="1">
      <c r="B14" s="11" t="s">
        <v>17</v>
      </c>
      <c r="C14" s="2"/>
      <c r="D14" s="12">
        <f t="shared" ref="D14:I14" si="6">-D13*$E$5</f>
        <v>0</v>
      </c>
      <c r="E14" s="12">
        <f t="shared" si="6"/>
        <v>0</v>
      </c>
      <c r="F14" s="12">
        <f t="shared" si="6"/>
        <v>0</v>
      </c>
      <c r="G14" s="12">
        <f t="shared" si="6"/>
        <v>0</v>
      </c>
      <c r="H14" s="12">
        <f t="shared" si="6"/>
        <v>0</v>
      </c>
      <c r="I14" s="12">
        <f t="shared" si="6"/>
        <v>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ht="12.0" customHeight="1" outlineLevel="1">
      <c r="B15" s="2" t="s">
        <v>18</v>
      </c>
      <c r="C15" s="2"/>
      <c r="D15" s="4">
        <f t="shared" ref="D15:I15" si="7">SUM(D13:D14)</f>
        <v>9025</v>
      </c>
      <c r="E15" s="4">
        <f t="shared" si="7"/>
        <v>9205.5</v>
      </c>
      <c r="F15" s="4">
        <f t="shared" si="7"/>
        <v>9389.61</v>
      </c>
      <c r="G15" s="4">
        <f t="shared" si="7"/>
        <v>9577.4022</v>
      </c>
      <c r="H15" s="4">
        <f t="shared" si="7"/>
        <v>9768.950244</v>
      </c>
      <c r="I15" s="4">
        <f t="shared" si="7"/>
        <v>9964.329249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ht="12.0" customHeight="1" outlineLevel="1">
      <c r="B16" s="11" t="s">
        <v>66</v>
      </c>
      <c r="C16" s="2"/>
      <c r="D16" s="12">
        <f t="shared" ref="D16:I16" si="8">PMT($L$4/12,$L$5*12,$L$3,0)*12</f>
        <v>-7057.723253</v>
      </c>
      <c r="E16" s="12">
        <f t="shared" si="8"/>
        <v>-7057.723253</v>
      </c>
      <c r="F16" s="12">
        <f t="shared" si="8"/>
        <v>-7057.723253</v>
      </c>
      <c r="G16" s="12">
        <f t="shared" si="8"/>
        <v>-7057.723253</v>
      </c>
      <c r="H16" s="12">
        <f t="shared" si="8"/>
        <v>-7057.723253</v>
      </c>
      <c r="I16" s="12">
        <f t="shared" si="8"/>
        <v>-7057.723253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12.0" customHeight="1" outlineLevel="1">
      <c r="B17" s="2" t="s">
        <v>67</v>
      </c>
      <c r="C17" s="2"/>
      <c r="D17" s="4">
        <f t="shared" ref="D17:I17" si="9">D15+D16</f>
        <v>1967.276747</v>
      </c>
      <c r="E17" s="4">
        <f t="shared" si="9"/>
        <v>2147.776747</v>
      </c>
      <c r="F17" s="4">
        <f t="shared" si="9"/>
        <v>2331.886747</v>
      </c>
      <c r="G17" s="4">
        <f t="shared" si="9"/>
        <v>2519.678947</v>
      </c>
      <c r="H17" s="4">
        <f t="shared" si="9"/>
        <v>2711.226991</v>
      </c>
      <c r="I17" s="4">
        <f t="shared" si="9"/>
        <v>2906.605996</v>
      </c>
      <c r="J17" s="4"/>
      <c r="K17" s="4"/>
      <c r="L17" s="2"/>
      <c r="M17" s="2"/>
      <c r="N17" s="2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12.0" customHeight="1" outlineLevel="1">
      <c r="B18" s="2"/>
      <c r="C18" s="2"/>
      <c r="D18" s="4"/>
      <c r="E18" s="4"/>
      <c r="F18" s="4"/>
      <c r="G18" s="4"/>
      <c r="H18" s="4"/>
      <c r="I18" s="4"/>
      <c r="J18" s="4"/>
      <c r="K18" s="4"/>
      <c r="N18" s="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ht="12.0" customHeight="1">
      <c r="D19" s="42"/>
      <c r="N19" s="2"/>
    </row>
    <row r="20" ht="12.0" customHeight="1" outlineLevel="1">
      <c r="B20" s="2"/>
      <c r="C20" s="2"/>
      <c r="D20" s="4"/>
      <c r="E20" s="4"/>
      <c r="F20" s="4"/>
      <c r="G20" s="5" t="s">
        <v>19</v>
      </c>
      <c r="H20" s="4">
        <f>I13</f>
        <v>9964.329249</v>
      </c>
      <c r="I20" s="4"/>
      <c r="J20" s="4"/>
      <c r="K20" s="4"/>
      <c r="N20" s="2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ht="12.0" customHeight="1" outlineLevel="1">
      <c r="B21" s="2"/>
      <c r="C21" s="2"/>
      <c r="D21" s="2"/>
      <c r="E21" s="2"/>
      <c r="F21" s="2"/>
      <c r="G21" s="5" t="s">
        <v>20</v>
      </c>
      <c r="H21" s="8">
        <f>H3</f>
        <v>0.0625</v>
      </c>
      <c r="J21" s="2"/>
      <c r="K21" s="2"/>
      <c r="N21" s="2"/>
      <c r="O21" s="2"/>
      <c r="P21" s="2"/>
      <c r="Q21" s="2"/>
      <c r="R21" s="2"/>
      <c r="S21" s="2"/>
      <c r="T21" s="2"/>
      <c r="U21" s="2"/>
    </row>
    <row r="22" ht="12.0" customHeight="1" outlineLevel="1">
      <c r="B22" s="2"/>
      <c r="C22" s="2"/>
      <c r="D22" s="2"/>
      <c r="E22" s="2"/>
      <c r="F22" s="2"/>
      <c r="G22" s="5" t="s">
        <v>21</v>
      </c>
      <c r="H22" s="4">
        <f>H20/H21</f>
        <v>159429.268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2.0" customHeight="1" outlineLevel="1">
      <c r="A23" s="29" t="s">
        <v>68</v>
      </c>
      <c r="B23" s="2"/>
      <c r="C23" s="2"/>
      <c r="D23" s="2"/>
      <c r="E23" s="2"/>
      <c r="F23" s="2"/>
      <c r="G23" s="5" t="s">
        <v>22</v>
      </c>
      <c r="H23" s="12">
        <f>H22*$H$6</f>
        <v>3188.58536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2.0" customHeight="1" outlineLevel="1">
      <c r="A24" s="2" t="s">
        <v>57</v>
      </c>
      <c r="B24" s="2"/>
      <c r="C24" s="4">
        <f>-L2</f>
        <v>-143725.5323</v>
      </c>
      <c r="D24" s="2"/>
      <c r="E24" s="2"/>
      <c r="F24" s="2"/>
      <c r="G24" s="5" t="s">
        <v>23</v>
      </c>
      <c r="H24" s="4">
        <f>H22-H23</f>
        <v>156240.6826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2.0" customHeight="1" outlineLevel="1">
      <c r="A25" s="2" t="s">
        <v>69</v>
      </c>
      <c r="B25" s="2"/>
      <c r="C25" s="4">
        <f>L3</f>
        <v>100607.8726</v>
      </c>
      <c r="D25" s="2"/>
      <c r="E25" s="2"/>
      <c r="F25" s="2"/>
      <c r="G25" s="43" t="s">
        <v>70</v>
      </c>
      <c r="H25" s="12">
        <f>FV(L4/12,L6*12,D16/12,L3)</f>
        <v>-89118.64379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2.0" customHeight="1" outlineLevel="1">
      <c r="A26" s="2" t="s">
        <v>71</v>
      </c>
      <c r="B26" s="2"/>
      <c r="C26" s="4">
        <f>C24+C25</f>
        <v>-43117.6597</v>
      </c>
      <c r="D26" s="2"/>
      <c r="E26" s="2"/>
      <c r="F26" s="2"/>
      <c r="G26" s="5" t="s">
        <v>72</v>
      </c>
      <c r="H26" s="4">
        <f>H24+H25</f>
        <v>67122.03883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2.0" customHeight="1" outlineLevel="1">
      <c r="B27" s="2"/>
      <c r="C27" s="2"/>
      <c r="D27" s="2"/>
      <c r="E27" s="2"/>
      <c r="F27" s="2"/>
      <c r="G27" s="5"/>
      <c r="H27" s="4"/>
      <c r="I27" s="2"/>
      <c r="M27" s="2"/>
      <c r="N27" s="2"/>
      <c r="O27" s="2"/>
      <c r="P27" s="2"/>
      <c r="Q27" s="2"/>
      <c r="R27" s="2"/>
      <c r="S27" s="2"/>
      <c r="T27" s="2"/>
      <c r="U27" s="2"/>
    </row>
    <row r="28" ht="12.0" customHeight="1" outlineLevel="1">
      <c r="A28" s="29" t="s">
        <v>73</v>
      </c>
      <c r="B28" s="13"/>
      <c r="C28" s="2"/>
      <c r="D28" s="2"/>
      <c r="E28" s="2"/>
      <c r="F28" s="2"/>
      <c r="G28" s="2"/>
      <c r="H28" s="2"/>
      <c r="I28" s="2"/>
      <c r="J28" s="1" t="s">
        <v>35</v>
      </c>
      <c r="K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2.0" customHeight="1" outlineLevel="1">
      <c r="A29" s="2" t="s">
        <v>18</v>
      </c>
      <c r="C29" s="2"/>
      <c r="D29" s="4">
        <f t="shared" ref="D29:H29" si="10">D15</f>
        <v>9025</v>
      </c>
      <c r="E29" s="4">
        <f t="shared" si="10"/>
        <v>9205.5</v>
      </c>
      <c r="F29" s="4">
        <f t="shared" si="10"/>
        <v>9389.61</v>
      </c>
      <c r="G29" s="4">
        <f t="shared" si="10"/>
        <v>9577.4022</v>
      </c>
      <c r="H29" s="4">
        <f t="shared" si="10"/>
        <v>9768.950244</v>
      </c>
      <c r="I29" s="2"/>
      <c r="J29" s="44" t="s">
        <v>74</v>
      </c>
      <c r="K29" s="4">
        <f>D13</f>
        <v>9025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2.0" customHeight="1" outlineLevel="1">
      <c r="A30" s="2" t="s">
        <v>75</v>
      </c>
      <c r="C30" s="2"/>
      <c r="D30" s="12"/>
      <c r="E30" s="12"/>
      <c r="F30" s="12"/>
      <c r="G30" s="12"/>
      <c r="H30" s="12">
        <f>H24</f>
        <v>156240.6826</v>
      </c>
      <c r="I30" s="2"/>
      <c r="J30" s="2" t="s">
        <v>36</v>
      </c>
      <c r="K30" s="8">
        <f>H2</f>
        <v>0.06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2.0" customHeight="1" outlineLevel="1">
      <c r="A31" s="2" t="s">
        <v>76</v>
      </c>
      <c r="C31" s="2"/>
      <c r="D31" s="4">
        <f t="shared" ref="D31:H31" si="11">SUM(D29:D30)</f>
        <v>9025</v>
      </c>
      <c r="E31" s="4">
        <f t="shared" si="11"/>
        <v>9205.5</v>
      </c>
      <c r="F31" s="4">
        <f t="shared" si="11"/>
        <v>9389.61</v>
      </c>
      <c r="G31" s="4">
        <f t="shared" si="11"/>
        <v>9577.4022</v>
      </c>
      <c r="H31" s="4">
        <f t="shared" si="11"/>
        <v>166009.6329</v>
      </c>
      <c r="I31" s="2"/>
      <c r="J31" s="5" t="s">
        <v>77</v>
      </c>
      <c r="K31" s="4">
        <f>K29/K30</f>
        <v>150416.6667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2.0" customHeight="1" outlineLevel="1">
      <c r="A32" s="2" t="s">
        <v>31</v>
      </c>
      <c r="C32" s="8">
        <f>H5</f>
        <v>0.08</v>
      </c>
      <c r="D32" s="2"/>
      <c r="E32" s="7"/>
      <c r="F32" s="7"/>
      <c r="G32" s="7"/>
      <c r="H32" s="2"/>
      <c r="I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2.0" customHeight="1" outlineLevel="1">
      <c r="A33" s="2" t="s">
        <v>32</v>
      </c>
      <c r="C33" s="4">
        <f t="array" ref="C33">NPV(C32,D31:H31)</f>
        <v>143725.5323</v>
      </c>
      <c r="D33" s="2"/>
      <c r="E33" s="2"/>
      <c r="F33" s="2"/>
      <c r="G33" s="2"/>
      <c r="H33" s="2"/>
      <c r="I33" s="2"/>
      <c r="J33" s="14" t="s">
        <v>78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2.0" customHeight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2.0" customHeight="1" outlineLevel="1">
      <c r="A35" s="29" t="s">
        <v>79</v>
      </c>
      <c r="D35" s="2"/>
      <c r="E35" s="2"/>
      <c r="F35" s="2"/>
      <c r="G35" s="2"/>
      <c r="H35" s="2"/>
      <c r="I35" s="2"/>
      <c r="J35" s="4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2.0" customHeight="1" outlineLevel="1">
      <c r="A36" s="3" t="s">
        <v>39</v>
      </c>
      <c r="C36" s="30">
        <f>C25</f>
        <v>100607.8726</v>
      </c>
      <c r="D36" s="2"/>
      <c r="E36" s="2"/>
      <c r="F36" s="2"/>
      <c r="G36" s="2"/>
      <c r="H36" s="2"/>
      <c r="I36" s="2"/>
      <c r="J36" s="4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2.0" customHeight="1" outlineLevel="1">
      <c r="A37" s="3" t="s">
        <v>80</v>
      </c>
      <c r="D37" s="4">
        <f t="shared" ref="D37:H37" si="12">D16</f>
        <v>-7057.723253</v>
      </c>
      <c r="E37" s="4">
        <f t="shared" si="12"/>
        <v>-7057.723253</v>
      </c>
      <c r="F37" s="4">
        <f t="shared" si="12"/>
        <v>-7057.723253</v>
      </c>
      <c r="G37" s="4">
        <f t="shared" si="12"/>
        <v>-7057.723253</v>
      </c>
      <c r="H37" s="4">
        <f t="shared" si="12"/>
        <v>-7057.723253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2.0" customHeight="1" outlineLevel="1">
      <c r="A38" s="3" t="s">
        <v>81</v>
      </c>
      <c r="C38" s="12"/>
      <c r="D38" s="12"/>
      <c r="E38" s="12"/>
      <c r="F38" s="12"/>
      <c r="G38" s="12"/>
      <c r="H38" s="12">
        <f>H25</f>
        <v>-89118.64379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2.0" customHeight="1" outlineLevel="1">
      <c r="A39" s="3" t="s">
        <v>82</v>
      </c>
      <c r="C39" s="4">
        <f t="shared" ref="C39:H39" si="13">SUM(C36:C38)</f>
        <v>100607.8726</v>
      </c>
      <c r="D39" s="4">
        <f t="shared" si="13"/>
        <v>-7057.723253</v>
      </c>
      <c r="E39" s="4">
        <f t="shared" si="13"/>
        <v>-7057.723253</v>
      </c>
      <c r="F39" s="4">
        <f t="shared" si="13"/>
        <v>-7057.723253</v>
      </c>
      <c r="G39" s="4">
        <f t="shared" si="13"/>
        <v>-7057.723253</v>
      </c>
      <c r="H39" s="4">
        <f t="shared" si="13"/>
        <v>-96176.36705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2.0" customHeight="1">
      <c r="B40" s="2" t="s">
        <v>83</v>
      </c>
      <c r="C40" s="8">
        <f>IRR(C39:H39)</f>
        <v>0.04946158482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2.0" customHeight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2.0" customHeight="1">
      <c r="A42" s="29" t="s">
        <v>84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2.0" customHeight="1">
      <c r="A43" s="3" t="s">
        <v>71</v>
      </c>
      <c r="C43" s="4">
        <f>C26</f>
        <v>-43117.6597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2.0" customHeight="1">
      <c r="A44" s="2" t="s">
        <v>67</v>
      </c>
      <c r="C44" s="2"/>
      <c r="D44" s="4">
        <f t="shared" ref="D44:H44" si="14">D17</f>
        <v>1967.276747</v>
      </c>
      <c r="E44" s="4">
        <f t="shared" si="14"/>
        <v>2147.776747</v>
      </c>
      <c r="F44" s="4">
        <f t="shared" si="14"/>
        <v>2331.886747</v>
      </c>
      <c r="G44" s="4">
        <f t="shared" si="14"/>
        <v>2519.678947</v>
      </c>
      <c r="H44" s="4">
        <f t="shared" si="14"/>
        <v>2711.226991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2.0" customHeight="1">
      <c r="A45" s="2" t="s">
        <v>85</v>
      </c>
      <c r="C45" s="12"/>
      <c r="D45" s="12"/>
      <c r="E45" s="12"/>
      <c r="F45" s="12"/>
      <c r="G45" s="12"/>
      <c r="H45" s="12">
        <f>H26</f>
        <v>67122.03883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2.0" customHeight="1">
      <c r="A46" s="2" t="s">
        <v>86</v>
      </c>
      <c r="B46" s="2"/>
      <c r="C46" s="4">
        <f t="shared" ref="C46:H46" si="15">SUM(C43:C45)</f>
        <v>-43117.6597</v>
      </c>
      <c r="D46" s="4">
        <f t="shared" si="15"/>
        <v>1967.276747</v>
      </c>
      <c r="E46" s="4">
        <f t="shared" si="15"/>
        <v>2147.776747</v>
      </c>
      <c r="F46" s="4">
        <f t="shared" si="15"/>
        <v>2331.886747</v>
      </c>
      <c r="G46" s="4">
        <f t="shared" si="15"/>
        <v>2519.678947</v>
      </c>
      <c r="H46" s="4">
        <f t="shared" si="15"/>
        <v>69833.26582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2.0" customHeight="1">
      <c r="B47" s="3" t="s">
        <v>87</v>
      </c>
      <c r="C47" s="8">
        <f>IRR(C46:H46)</f>
        <v>0.1376750017</v>
      </c>
    </row>
    <row r="48" ht="12.0" customHeight="1">
      <c r="B48" s="3" t="s">
        <v>88</v>
      </c>
      <c r="D48" s="7">
        <f t="shared" ref="D48:H48" si="16">D44/-$C$43</f>
        <v>0.04562577747</v>
      </c>
      <c r="E48" s="7">
        <f t="shared" si="16"/>
        <v>0.04981199726</v>
      </c>
      <c r="F48" s="7">
        <f t="shared" si="16"/>
        <v>0.05408194143</v>
      </c>
      <c r="G48" s="7">
        <f t="shared" si="16"/>
        <v>0.05843728449</v>
      </c>
      <c r="H48" s="7">
        <f t="shared" si="16"/>
        <v>0.06287973442</v>
      </c>
    </row>
    <row r="49" ht="12.0" customHeight="1">
      <c r="D49" s="7"/>
      <c r="E49" s="7"/>
      <c r="F49" s="7"/>
      <c r="G49" s="7"/>
      <c r="H49" s="7"/>
    </row>
    <row r="50" ht="12.0" customHeight="1">
      <c r="B50" s="3" t="s">
        <v>89</v>
      </c>
      <c r="D50" s="45" t="str">
        <f>FIXED(D51/D52,2)&amp;"x"</f>
        <v>1.83x</v>
      </c>
      <c r="E50" s="7"/>
      <c r="F50" s="7"/>
      <c r="G50" s="7"/>
      <c r="H50" s="7"/>
    </row>
    <row r="51" ht="12.0" customHeight="1">
      <c r="B51" s="3" t="s">
        <v>90</v>
      </c>
      <c r="D51" s="4">
        <f>SUM(D46:H46)</f>
        <v>78799.88501</v>
      </c>
      <c r="E51" s="7"/>
      <c r="F51" s="7"/>
      <c r="G51" s="7"/>
      <c r="H51" s="7"/>
    </row>
    <row r="52" ht="12.0" customHeight="1">
      <c r="B52" s="3" t="s">
        <v>91</v>
      </c>
      <c r="D52" s="4">
        <f>-C43</f>
        <v>43117.6597</v>
      </c>
    </row>
    <row r="53" ht="12.0" hidden="1" customHeight="1" outlineLevel="1">
      <c r="A53" s="29" t="s">
        <v>92</v>
      </c>
    </row>
    <row r="54" ht="12.0" hidden="1" customHeight="1" outlineLevel="1">
      <c r="B54" s="3" t="s">
        <v>93</v>
      </c>
      <c r="C54" s="8">
        <f>C40</f>
        <v>0.04946158482</v>
      </c>
      <c r="D54" s="7">
        <f>M3</f>
        <v>0.7</v>
      </c>
      <c r="E54" s="8">
        <f t="shared" ref="E54:E55" si="17">C54*D54</f>
        <v>0.03462310938</v>
      </c>
    </row>
    <row r="55" ht="12.0" hidden="1" customHeight="1" outlineLevel="1">
      <c r="B55" s="3" t="s">
        <v>94</v>
      </c>
      <c r="C55" s="8">
        <f>C47</f>
        <v>0.1376750017</v>
      </c>
      <c r="D55" s="7">
        <f>1-D54</f>
        <v>0.3</v>
      </c>
      <c r="E55" s="8">
        <f t="shared" si="17"/>
        <v>0.04130250051</v>
      </c>
    </row>
    <row r="56" ht="12.0" hidden="1" customHeight="1" outlineLevel="1">
      <c r="E56" s="8">
        <f>SUM(E54:E55)</f>
        <v>0.07592560989</v>
      </c>
    </row>
    <row r="57" ht="12.0" hidden="1" customHeight="1" outlineLevel="1">
      <c r="B57" s="3" t="s">
        <v>9</v>
      </c>
      <c r="E57" s="8">
        <f>C32</f>
        <v>0.08</v>
      </c>
    </row>
    <row r="58" ht="12.0" hidden="1" customHeight="1" outlineLevel="1"/>
    <row r="59" ht="12.0" hidden="1" customHeight="1" outlineLevel="1">
      <c r="A59" s="29" t="s">
        <v>95</v>
      </c>
    </row>
    <row r="60" ht="12.0" hidden="1" customHeight="1" outlineLevel="1">
      <c r="B60" s="3" t="s">
        <v>93</v>
      </c>
      <c r="C60" s="8">
        <f>-D37/C36</f>
        <v>0.07015080498</v>
      </c>
      <c r="D60" s="7">
        <f>M3</f>
        <v>0.7</v>
      </c>
      <c r="E60" s="8">
        <f t="shared" ref="E60:E61" si="18">C60*D60</f>
        <v>0.04910556349</v>
      </c>
    </row>
    <row r="61" ht="12.0" hidden="1" customHeight="1" outlineLevel="1">
      <c r="B61" s="3" t="s">
        <v>94</v>
      </c>
      <c r="C61" s="8">
        <f>D44/-C43</f>
        <v>0.04562577747</v>
      </c>
      <c r="D61" s="7">
        <f>1-D60</f>
        <v>0.3</v>
      </c>
      <c r="E61" s="8">
        <f t="shared" si="18"/>
        <v>0.01368773324</v>
      </c>
    </row>
    <row r="62" ht="12.0" hidden="1" customHeight="1" outlineLevel="1">
      <c r="E62" s="8">
        <f>SUM(E60:E61)</f>
        <v>0.06279329673</v>
      </c>
    </row>
    <row r="63" ht="12.0" hidden="1" customHeight="1" outlineLevel="1">
      <c r="B63" s="3" t="s">
        <v>96</v>
      </c>
      <c r="E63" s="8">
        <f>D31/C33</f>
        <v>0.06279329673</v>
      </c>
    </row>
    <row r="64" ht="12.0" customHeight="1" collapsed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 outlineLevelRow="1"/>
  <cols>
    <col customWidth="1" min="1" max="1" width="3.5"/>
    <col customWidth="1" min="2" max="2" width="10.13"/>
    <col customWidth="1" min="3" max="3" width="12.75"/>
    <col customWidth="1" min="4" max="103" width="10.13"/>
    <col customWidth="1" min="104" max="104" width="9.13"/>
    <col customWidth="1" min="105" max="120" width="8.5"/>
    <col customWidth="1" min="121" max="203" width="10.13"/>
    <col customWidth="1" min="204" max="223" width="9.13"/>
  </cols>
  <sheetData>
    <row r="1" ht="12.0" customHeight="1">
      <c r="B1" s="1" t="s">
        <v>0</v>
      </c>
      <c r="E1" s="2"/>
      <c r="F1" s="2"/>
      <c r="G1" s="1" t="s">
        <v>1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2.0" customHeight="1">
      <c r="B2" s="3" t="s">
        <v>2</v>
      </c>
      <c r="E2" s="4">
        <v>9025.0</v>
      </c>
      <c r="G2" s="5" t="s">
        <v>3</v>
      </c>
      <c r="H2" s="6">
        <v>0.0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2.0" customHeight="1">
      <c r="B3" s="3" t="s">
        <v>4</v>
      </c>
      <c r="E3" s="7">
        <v>0.0</v>
      </c>
      <c r="G3" s="5" t="s">
        <v>5</v>
      </c>
      <c r="H3" s="8">
        <v>0.0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2.0" customHeight="1">
      <c r="B4" s="3" t="s">
        <v>6</v>
      </c>
      <c r="E4" s="7">
        <v>0.0</v>
      </c>
      <c r="G4" s="5" t="s">
        <v>7</v>
      </c>
      <c r="H4" s="8">
        <v>0.02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2.0" customHeight="1">
      <c r="B5" s="3" t="s">
        <v>8</v>
      </c>
      <c r="E5" s="7">
        <v>0.0</v>
      </c>
      <c r="G5" s="5" t="s">
        <v>9</v>
      </c>
      <c r="H5" s="6">
        <v>0.08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2.0" customHeight="1">
      <c r="G6" s="5" t="s">
        <v>10</v>
      </c>
      <c r="H6" s="7">
        <v>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2.0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2.0" customHeight="1">
      <c r="B8" s="1" t="s">
        <v>11</v>
      </c>
      <c r="C8" s="9">
        <v>0.0</v>
      </c>
      <c r="D8" s="10">
        <v>1.0</v>
      </c>
      <c r="E8" s="10">
        <v>2.0</v>
      </c>
      <c r="F8" s="10">
        <v>3.0</v>
      </c>
      <c r="G8" s="10">
        <v>4.0</v>
      </c>
      <c r="H8" s="10">
        <v>5.0</v>
      </c>
      <c r="I8" s="10">
        <v>6.0</v>
      </c>
      <c r="J8" s="10">
        <v>7.0</v>
      </c>
      <c r="K8" s="10">
        <v>8.0</v>
      </c>
      <c r="L8" s="10">
        <v>9.0</v>
      </c>
      <c r="M8" s="10">
        <v>10.0</v>
      </c>
      <c r="N8" s="10">
        <v>11.0</v>
      </c>
      <c r="O8" s="10">
        <v>12.0</v>
      </c>
      <c r="P8" s="10">
        <v>13.0</v>
      </c>
      <c r="Q8" s="10">
        <v>14.0</v>
      </c>
      <c r="R8" s="10">
        <v>15.0</v>
      </c>
      <c r="S8" s="10">
        <v>16.0</v>
      </c>
      <c r="T8" s="10">
        <v>17.0</v>
      </c>
      <c r="U8" s="10">
        <v>18.0</v>
      </c>
      <c r="V8" s="10">
        <v>19.0</v>
      </c>
      <c r="W8" s="10">
        <v>20.0</v>
      </c>
      <c r="X8" s="10">
        <v>21.0</v>
      </c>
      <c r="Y8" s="10">
        <v>22.0</v>
      </c>
      <c r="Z8" s="10">
        <v>23.0</v>
      </c>
      <c r="AA8" s="10">
        <v>24.0</v>
      </c>
      <c r="AB8" s="10">
        <v>25.0</v>
      </c>
      <c r="AC8" s="10">
        <v>26.0</v>
      </c>
      <c r="AD8" s="10">
        <v>27.0</v>
      </c>
      <c r="AE8" s="10">
        <v>28.0</v>
      </c>
      <c r="AF8" s="10">
        <v>29.0</v>
      </c>
      <c r="AG8" s="10">
        <v>30.0</v>
      </c>
      <c r="AH8" s="10">
        <v>31.0</v>
      </c>
      <c r="AI8" s="10">
        <v>32.0</v>
      </c>
      <c r="AJ8" s="10">
        <v>33.0</v>
      </c>
      <c r="AK8" s="10">
        <v>34.0</v>
      </c>
      <c r="AL8" s="10">
        <v>35.0</v>
      </c>
      <c r="AM8" s="10">
        <v>36.0</v>
      </c>
      <c r="AN8" s="10">
        <v>37.0</v>
      </c>
      <c r="AO8" s="10">
        <v>38.0</v>
      </c>
      <c r="AP8" s="10">
        <v>39.0</v>
      </c>
      <c r="AQ8" s="10">
        <v>40.0</v>
      </c>
      <c r="AR8" s="10">
        <v>41.0</v>
      </c>
      <c r="AS8" s="10">
        <v>42.0</v>
      </c>
      <c r="AT8" s="10">
        <v>43.0</v>
      </c>
      <c r="AU8" s="10">
        <v>44.0</v>
      </c>
      <c r="AV8" s="10">
        <v>45.0</v>
      </c>
      <c r="AW8" s="10">
        <v>46.0</v>
      </c>
      <c r="AX8" s="10">
        <v>47.0</v>
      </c>
      <c r="AY8" s="10">
        <v>48.0</v>
      </c>
      <c r="AZ8" s="10">
        <v>49.0</v>
      </c>
      <c r="BA8" s="10">
        <v>50.0</v>
      </c>
      <c r="BB8" s="10">
        <v>51.0</v>
      </c>
      <c r="BC8" s="10">
        <v>52.0</v>
      </c>
      <c r="BD8" s="10">
        <v>53.0</v>
      </c>
      <c r="BE8" s="10">
        <v>54.0</v>
      </c>
      <c r="BF8" s="10">
        <v>55.0</v>
      </c>
      <c r="BG8" s="10">
        <v>56.0</v>
      </c>
      <c r="BH8" s="10">
        <v>57.0</v>
      </c>
      <c r="BI8" s="10">
        <v>58.0</v>
      </c>
      <c r="BJ8" s="10">
        <v>59.0</v>
      </c>
      <c r="BK8" s="10">
        <v>60.0</v>
      </c>
      <c r="BL8" s="10">
        <v>61.0</v>
      </c>
      <c r="BM8" s="10">
        <v>62.0</v>
      </c>
      <c r="BN8" s="10">
        <v>63.0</v>
      </c>
      <c r="BO8" s="10">
        <v>64.0</v>
      </c>
      <c r="BP8" s="10">
        <v>65.0</v>
      </c>
      <c r="BQ8" s="10">
        <v>66.0</v>
      </c>
      <c r="BR8" s="10">
        <v>67.0</v>
      </c>
      <c r="BS8" s="10">
        <v>68.0</v>
      </c>
      <c r="BT8" s="10">
        <v>69.0</v>
      </c>
      <c r="BU8" s="10">
        <v>70.0</v>
      </c>
      <c r="BV8" s="10">
        <v>71.0</v>
      </c>
      <c r="BW8" s="10">
        <v>72.0</v>
      </c>
      <c r="BX8" s="10">
        <v>73.0</v>
      </c>
      <c r="BY8" s="10">
        <v>74.0</v>
      </c>
      <c r="BZ8" s="10">
        <v>75.0</v>
      </c>
      <c r="CA8" s="10">
        <v>76.0</v>
      </c>
      <c r="CB8" s="10">
        <v>77.0</v>
      </c>
      <c r="CC8" s="10">
        <v>78.0</v>
      </c>
      <c r="CD8" s="10">
        <v>79.0</v>
      </c>
      <c r="CE8" s="10">
        <v>80.0</v>
      </c>
      <c r="CF8" s="10">
        <v>81.0</v>
      </c>
      <c r="CG8" s="10">
        <v>82.0</v>
      </c>
      <c r="CH8" s="10">
        <v>83.0</v>
      </c>
      <c r="CI8" s="10">
        <v>84.0</v>
      </c>
      <c r="CJ8" s="10">
        <v>85.0</v>
      </c>
      <c r="CK8" s="10">
        <v>86.0</v>
      </c>
      <c r="CL8" s="10">
        <v>87.0</v>
      </c>
      <c r="CM8" s="10">
        <v>88.0</v>
      </c>
      <c r="CN8" s="10">
        <v>89.0</v>
      </c>
      <c r="CO8" s="10">
        <v>90.0</v>
      </c>
      <c r="CP8" s="10">
        <v>91.0</v>
      </c>
      <c r="CQ8" s="10">
        <v>92.0</v>
      </c>
      <c r="CR8" s="10">
        <v>93.0</v>
      </c>
      <c r="CS8" s="10">
        <v>94.0</v>
      </c>
      <c r="CT8" s="10">
        <v>95.0</v>
      </c>
      <c r="CU8" s="10">
        <v>96.0</v>
      </c>
      <c r="CV8" s="10">
        <v>97.0</v>
      </c>
      <c r="CW8" s="10">
        <v>98.0</v>
      </c>
      <c r="CX8" s="10">
        <v>99.0</v>
      </c>
      <c r="CY8" s="10">
        <v>100.0</v>
      </c>
      <c r="CZ8" s="10">
        <v>101.0</v>
      </c>
      <c r="DA8" s="10">
        <v>102.0</v>
      </c>
      <c r="DB8" s="10">
        <v>103.0</v>
      </c>
      <c r="DC8" s="10">
        <v>104.0</v>
      </c>
      <c r="DD8" s="10">
        <v>105.0</v>
      </c>
      <c r="DE8" s="10">
        <v>106.0</v>
      </c>
      <c r="DF8" s="10">
        <v>107.0</v>
      </c>
      <c r="DG8" s="10">
        <v>108.0</v>
      </c>
      <c r="DH8" s="10">
        <v>109.0</v>
      </c>
      <c r="DI8" s="10">
        <v>110.0</v>
      </c>
      <c r="DJ8" s="10">
        <v>111.0</v>
      </c>
      <c r="DK8" s="10">
        <v>112.0</v>
      </c>
      <c r="DL8" s="10">
        <v>113.0</v>
      </c>
      <c r="DM8" s="10">
        <v>114.0</v>
      </c>
      <c r="DN8" s="10">
        <v>115.0</v>
      </c>
      <c r="DO8" s="10">
        <v>116.0</v>
      </c>
      <c r="DP8" s="10">
        <v>117.0</v>
      </c>
      <c r="DQ8" s="10">
        <v>118.0</v>
      </c>
      <c r="DR8" s="10">
        <v>119.0</v>
      </c>
      <c r="DS8" s="10">
        <v>120.0</v>
      </c>
      <c r="DT8" s="10">
        <v>121.0</v>
      </c>
      <c r="DU8" s="10">
        <v>122.0</v>
      </c>
      <c r="DV8" s="10">
        <v>123.0</v>
      </c>
      <c r="DW8" s="10">
        <v>124.0</v>
      </c>
      <c r="DX8" s="10">
        <v>125.0</v>
      </c>
      <c r="DY8" s="10">
        <v>126.0</v>
      </c>
      <c r="DZ8" s="10">
        <v>127.0</v>
      </c>
      <c r="EA8" s="10">
        <v>128.0</v>
      </c>
      <c r="EB8" s="10">
        <v>129.0</v>
      </c>
      <c r="EC8" s="10">
        <v>130.0</v>
      </c>
      <c r="ED8" s="10">
        <v>131.0</v>
      </c>
      <c r="EE8" s="10">
        <v>132.0</v>
      </c>
      <c r="EF8" s="10">
        <v>133.0</v>
      </c>
      <c r="EG8" s="10">
        <v>134.0</v>
      </c>
      <c r="EH8" s="10">
        <v>135.0</v>
      </c>
      <c r="EI8" s="10">
        <v>136.0</v>
      </c>
      <c r="EJ8" s="10">
        <v>137.0</v>
      </c>
      <c r="EK8" s="10">
        <v>138.0</v>
      </c>
      <c r="EL8" s="10">
        <v>139.0</v>
      </c>
      <c r="EM8" s="10">
        <v>140.0</v>
      </c>
      <c r="EN8" s="10">
        <v>141.0</v>
      </c>
      <c r="EO8" s="10">
        <v>142.0</v>
      </c>
      <c r="EP8" s="10">
        <v>143.0</v>
      </c>
      <c r="EQ8" s="10">
        <v>144.0</v>
      </c>
      <c r="ER8" s="10">
        <v>145.0</v>
      </c>
      <c r="ES8" s="10">
        <v>146.0</v>
      </c>
      <c r="ET8" s="10">
        <v>147.0</v>
      </c>
      <c r="EU8" s="10">
        <v>148.0</v>
      </c>
      <c r="EV8" s="10">
        <v>149.0</v>
      </c>
      <c r="EW8" s="10">
        <v>150.0</v>
      </c>
      <c r="EX8" s="10">
        <v>151.0</v>
      </c>
      <c r="EY8" s="10">
        <v>152.0</v>
      </c>
      <c r="EZ8" s="10">
        <v>153.0</v>
      </c>
      <c r="FA8" s="10">
        <v>154.0</v>
      </c>
      <c r="FB8" s="10">
        <v>155.0</v>
      </c>
      <c r="FC8" s="10">
        <v>156.0</v>
      </c>
      <c r="FD8" s="10">
        <v>157.0</v>
      </c>
      <c r="FE8" s="10">
        <v>158.0</v>
      </c>
      <c r="FF8" s="10">
        <v>159.0</v>
      </c>
      <c r="FG8" s="10">
        <v>160.0</v>
      </c>
      <c r="FH8" s="10">
        <v>161.0</v>
      </c>
      <c r="FI8" s="10">
        <v>162.0</v>
      </c>
      <c r="FJ8" s="10">
        <v>163.0</v>
      </c>
      <c r="FK8" s="10">
        <v>164.0</v>
      </c>
      <c r="FL8" s="10">
        <v>165.0</v>
      </c>
      <c r="FM8" s="10">
        <v>166.0</v>
      </c>
      <c r="FN8" s="10">
        <v>167.0</v>
      </c>
      <c r="FO8" s="10">
        <v>168.0</v>
      </c>
      <c r="FP8" s="10">
        <v>169.0</v>
      </c>
      <c r="FQ8" s="10">
        <v>170.0</v>
      </c>
      <c r="FR8" s="10">
        <v>171.0</v>
      </c>
      <c r="FS8" s="10">
        <v>172.0</v>
      </c>
      <c r="FT8" s="10">
        <v>173.0</v>
      </c>
      <c r="FU8" s="10">
        <v>174.0</v>
      </c>
      <c r="FV8" s="10">
        <v>175.0</v>
      </c>
      <c r="FW8" s="10">
        <v>176.0</v>
      </c>
      <c r="FX8" s="10">
        <v>177.0</v>
      </c>
      <c r="FY8" s="10">
        <v>178.0</v>
      </c>
      <c r="FZ8" s="10">
        <v>179.0</v>
      </c>
      <c r="GA8" s="10">
        <v>180.0</v>
      </c>
      <c r="GB8" s="10">
        <v>181.0</v>
      </c>
      <c r="GC8" s="10">
        <v>182.0</v>
      </c>
      <c r="GD8" s="10">
        <v>183.0</v>
      </c>
      <c r="GE8" s="10">
        <v>184.0</v>
      </c>
      <c r="GF8" s="10">
        <v>185.0</v>
      </c>
      <c r="GG8" s="10">
        <v>186.0</v>
      </c>
      <c r="GH8" s="10">
        <v>187.0</v>
      </c>
      <c r="GI8" s="10">
        <v>188.0</v>
      </c>
      <c r="GJ8" s="10">
        <v>189.0</v>
      </c>
      <c r="GK8" s="10">
        <v>190.0</v>
      </c>
      <c r="GL8" s="10">
        <v>191.0</v>
      </c>
      <c r="GM8" s="10">
        <v>192.0</v>
      </c>
      <c r="GN8" s="10">
        <v>193.0</v>
      </c>
      <c r="GO8" s="10">
        <v>194.0</v>
      </c>
      <c r="GP8" s="10">
        <v>195.0</v>
      </c>
      <c r="GQ8" s="10">
        <v>196.0</v>
      </c>
      <c r="GR8" s="10">
        <v>197.0</v>
      </c>
      <c r="GS8" s="10">
        <v>198.0</v>
      </c>
      <c r="GT8" s="10">
        <v>199.0</v>
      </c>
      <c r="GU8" s="10">
        <v>200.0</v>
      </c>
    </row>
    <row r="9" ht="12.0" customHeight="1">
      <c r="B9" s="2" t="s">
        <v>12</v>
      </c>
      <c r="C9" s="2"/>
      <c r="D9" s="4">
        <f>E2</f>
        <v>9025</v>
      </c>
      <c r="E9" s="4">
        <f t="shared" ref="E9:GU9" si="1">D9*(1+$H$4)</f>
        <v>9205.5</v>
      </c>
      <c r="F9" s="4">
        <f t="shared" si="1"/>
        <v>9389.61</v>
      </c>
      <c r="G9" s="4">
        <f t="shared" si="1"/>
        <v>9577.4022</v>
      </c>
      <c r="H9" s="4">
        <f t="shared" si="1"/>
        <v>9768.950244</v>
      </c>
      <c r="I9" s="4">
        <f t="shared" si="1"/>
        <v>9964.329249</v>
      </c>
      <c r="J9" s="4">
        <f t="shared" si="1"/>
        <v>10163.61583</v>
      </c>
      <c r="K9" s="4">
        <f t="shared" si="1"/>
        <v>10366.88815</v>
      </c>
      <c r="L9" s="4">
        <f t="shared" si="1"/>
        <v>10574.22591</v>
      </c>
      <c r="M9" s="4">
        <f t="shared" si="1"/>
        <v>10785.71043</v>
      </c>
      <c r="N9" s="4">
        <f t="shared" si="1"/>
        <v>11001.42464</v>
      </c>
      <c r="O9" s="4">
        <f t="shared" si="1"/>
        <v>11221.45313</v>
      </c>
      <c r="P9" s="4">
        <f t="shared" si="1"/>
        <v>11445.8822</v>
      </c>
      <c r="Q9" s="4">
        <f t="shared" si="1"/>
        <v>11674.79984</v>
      </c>
      <c r="R9" s="4">
        <f t="shared" si="1"/>
        <v>11908.29584</v>
      </c>
      <c r="S9" s="4">
        <f t="shared" si="1"/>
        <v>12146.46175</v>
      </c>
      <c r="T9" s="4">
        <f t="shared" si="1"/>
        <v>12389.39099</v>
      </c>
      <c r="U9" s="4">
        <f t="shared" si="1"/>
        <v>12637.17881</v>
      </c>
      <c r="V9" s="4">
        <f t="shared" si="1"/>
        <v>12889.92238</v>
      </c>
      <c r="W9" s="4">
        <f t="shared" si="1"/>
        <v>13147.72083</v>
      </c>
      <c r="X9" s="4">
        <f t="shared" si="1"/>
        <v>13410.67525</v>
      </c>
      <c r="Y9" s="4">
        <f t="shared" si="1"/>
        <v>13678.88875</v>
      </c>
      <c r="Z9" s="4">
        <f t="shared" si="1"/>
        <v>13952.46653</v>
      </c>
      <c r="AA9" s="4">
        <f t="shared" si="1"/>
        <v>14231.51586</v>
      </c>
      <c r="AB9" s="4">
        <f t="shared" si="1"/>
        <v>14516.14618</v>
      </c>
      <c r="AC9" s="4">
        <f t="shared" si="1"/>
        <v>14806.4691</v>
      </c>
      <c r="AD9" s="4">
        <f t="shared" si="1"/>
        <v>15102.59848</v>
      </c>
      <c r="AE9" s="4">
        <f t="shared" si="1"/>
        <v>15404.65045</v>
      </c>
      <c r="AF9" s="4">
        <f t="shared" si="1"/>
        <v>15712.74346</v>
      </c>
      <c r="AG9" s="4">
        <f t="shared" si="1"/>
        <v>16026.99833</v>
      </c>
      <c r="AH9" s="4">
        <f t="shared" si="1"/>
        <v>16347.5383</v>
      </c>
      <c r="AI9" s="4">
        <f t="shared" si="1"/>
        <v>16674.48906</v>
      </c>
      <c r="AJ9" s="4">
        <f t="shared" si="1"/>
        <v>17007.97884</v>
      </c>
      <c r="AK9" s="4">
        <f t="shared" si="1"/>
        <v>17348.13842</v>
      </c>
      <c r="AL9" s="4">
        <f t="shared" si="1"/>
        <v>17695.10119</v>
      </c>
      <c r="AM9" s="4">
        <f t="shared" si="1"/>
        <v>18049.00321</v>
      </c>
      <c r="AN9" s="4">
        <f t="shared" si="1"/>
        <v>18409.98328</v>
      </c>
      <c r="AO9" s="4">
        <f t="shared" si="1"/>
        <v>18778.18294</v>
      </c>
      <c r="AP9" s="4">
        <f t="shared" si="1"/>
        <v>19153.7466</v>
      </c>
      <c r="AQ9" s="4">
        <f t="shared" si="1"/>
        <v>19536.82153</v>
      </c>
      <c r="AR9" s="4">
        <f t="shared" si="1"/>
        <v>19927.55796</v>
      </c>
      <c r="AS9" s="4">
        <f t="shared" si="1"/>
        <v>20326.10912</v>
      </c>
      <c r="AT9" s="4">
        <f t="shared" si="1"/>
        <v>20732.63131</v>
      </c>
      <c r="AU9" s="4">
        <f t="shared" si="1"/>
        <v>21147.28393</v>
      </c>
      <c r="AV9" s="4">
        <f t="shared" si="1"/>
        <v>21570.22961</v>
      </c>
      <c r="AW9" s="4">
        <f t="shared" si="1"/>
        <v>22001.6342</v>
      </c>
      <c r="AX9" s="4">
        <f t="shared" si="1"/>
        <v>22441.66689</v>
      </c>
      <c r="AY9" s="4">
        <f t="shared" si="1"/>
        <v>22890.50022</v>
      </c>
      <c r="AZ9" s="4">
        <f t="shared" si="1"/>
        <v>23348.31023</v>
      </c>
      <c r="BA9" s="4">
        <f t="shared" si="1"/>
        <v>23815.27643</v>
      </c>
      <c r="BB9" s="4">
        <f t="shared" si="1"/>
        <v>24291.58196</v>
      </c>
      <c r="BC9" s="4">
        <f t="shared" si="1"/>
        <v>24777.4136</v>
      </c>
      <c r="BD9" s="4">
        <f t="shared" si="1"/>
        <v>25272.96187</v>
      </c>
      <c r="BE9" s="4">
        <f t="shared" si="1"/>
        <v>25778.42111</v>
      </c>
      <c r="BF9" s="4">
        <f t="shared" si="1"/>
        <v>26293.98953</v>
      </c>
      <c r="BG9" s="4">
        <f t="shared" si="1"/>
        <v>26819.86932</v>
      </c>
      <c r="BH9" s="4">
        <f t="shared" si="1"/>
        <v>27356.26671</v>
      </c>
      <c r="BI9" s="4">
        <f t="shared" si="1"/>
        <v>27903.39204</v>
      </c>
      <c r="BJ9" s="4">
        <f t="shared" si="1"/>
        <v>28461.45989</v>
      </c>
      <c r="BK9" s="4">
        <f t="shared" si="1"/>
        <v>29030.68908</v>
      </c>
      <c r="BL9" s="4">
        <f t="shared" si="1"/>
        <v>29611.30286</v>
      </c>
      <c r="BM9" s="4">
        <f t="shared" si="1"/>
        <v>30203.52892</v>
      </c>
      <c r="BN9" s="4">
        <f t="shared" si="1"/>
        <v>30807.5995</v>
      </c>
      <c r="BO9" s="4">
        <f t="shared" si="1"/>
        <v>31423.75149</v>
      </c>
      <c r="BP9" s="4">
        <f t="shared" si="1"/>
        <v>32052.22652</v>
      </c>
      <c r="BQ9" s="4">
        <f t="shared" si="1"/>
        <v>32693.27105</v>
      </c>
      <c r="BR9" s="4">
        <f t="shared" si="1"/>
        <v>33347.13647</v>
      </c>
      <c r="BS9" s="4">
        <f t="shared" si="1"/>
        <v>34014.0792</v>
      </c>
      <c r="BT9" s="4">
        <f t="shared" si="1"/>
        <v>34694.36079</v>
      </c>
      <c r="BU9" s="4">
        <f t="shared" si="1"/>
        <v>35388.248</v>
      </c>
      <c r="BV9" s="4">
        <f t="shared" si="1"/>
        <v>36096.01296</v>
      </c>
      <c r="BW9" s="4">
        <f t="shared" si="1"/>
        <v>36817.93322</v>
      </c>
      <c r="BX9" s="4">
        <f t="shared" si="1"/>
        <v>37554.29188</v>
      </c>
      <c r="BY9" s="4">
        <f t="shared" si="1"/>
        <v>38305.37772</v>
      </c>
      <c r="BZ9" s="4">
        <f t="shared" si="1"/>
        <v>39071.48528</v>
      </c>
      <c r="CA9" s="4">
        <f t="shared" si="1"/>
        <v>39852.91498</v>
      </c>
      <c r="CB9" s="4">
        <f t="shared" si="1"/>
        <v>40649.97328</v>
      </c>
      <c r="CC9" s="4">
        <f t="shared" si="1"/>
        <v>41462.97275</v>
      </c>
      <c r="CD9" s="4">
        <f t="shared" si="1"/>
        <v>42292.2322</v>
      </c>
      <c r="CE9" s="4">
        <f t="shared" si="1"/>
        <v>43138.07685</v>
      </c>
      <c r="CF9" s="4">
        <f t="shared" si="1"/>
        <v>44000.83838</v>
      </c>
      <c r="CG9" s="4">
        <f t="shared" si="1"/>
        <v>44880.85515</v>
      </c>
      <c r="CH9" s="4">
        <f t="shared" si="1"/>
        <v>45778.47225</v>
      </c>
      <c r="CI9" s="4">
        <f t="shared" si="1"/>
        <v>46694.0417</v>
      </c>
      <c r="CJ9" s="4">
        <f t="shared" si="1"/>
        <v>47627.92253</v>
      </c>
      <c r="CK9" s="4">
        <f t="shared" si="1"/>
        <v>48580.48098</v>
      </c>
      <c r="CL9" s="4">
        <f t="shared" si="1"/>
        <v>49552.0906</v>
      </c>
      <c r="CM9" s="4">
        <f t="shared" si="1"/>
        <v>50543.13242</v>
      </c>
      <c r="CN9" s="4">
        <f t="shared" si="1"/>
        <v>51553.99506</v>
      </c>
      <c r="CO9" s="4">
        <f t="shared" si="1"/>
        <v>52585.07497</v>
      </c>
      <c r="CP9" s="4">
        <f t="shared" si="1"/>
        <v>53636.77646</v>
      </c>
      <c r="CQ9" s="4">
        <f t="shared" si="1"/>
        <v>54709.51199</v>
      </c>
      <c r="CR9" s="4">
        <f t="shared" si="1"/>
        <v>55803.70223</v>
      </c>
      <c r="CS9" s="4">
        <f t="shared" si="1"/>
        <v>56919.77628</v>
      </c>
      <c r="CT9" s="4">
        <f t="shared" si="1"/>
        <v>58058.1718</v>
      </c>
      <c r="CU9" s="4">
        <f t="shared" si="1"/>
        <v>59219.33524</v>
      </c>
      <c r="CV9" s="4">
        <f t="shared" si="1"/>
        <v>60403.72195</v>
      </c>
      <c r="CW9" s="4">
        <f t="shared" si="1"/>
        <v>61611.79638</v>
      </c>
      <c r="CX9" s="4">
        <f t="shared" si="1"/>
        <v>62844.03231</v>
      </c>
      <c r="CY9" s="4">
        <f t="shared" si="1"/>
        <v>64100.91296</v>
      </c>
      <c r="CZ9" s="4">
        <f t="shared" si="1"/>
        <v>65382.93122</v>
      </c>
      <c r="DA9" s="4">
        <f t="shared" si="1"/>
        <v>66690.58984</v>
      </c>
      <c r="DB9" s="4">
        <f t="shared" si="1"/>
        <v>68024.40164</v>
      </c>
      <c r="DC9" s="4">
        <f t="shared" si="1"/>
        <v>69384.88967</v>
      </c>
      <c r="DD9" s="4">
        <f t="shared" si="1"/>
        <v>70772.58746</v>
      </c>
      <c r="DE9" s="4">
        <f t="shared" si="1"/>
        <v>72188.03921</v>
      </c>
      <c r="DF9" s="4">
        <f t="shared" si="1"/>
        <v>73631.8</v>
      </c>
      <c r="DG9" s="4">
        <f t="shared" si="1"/>
        <v>75104.436</v>
      </c>
      <c r="DH9" s="4">
        <f t="shared" si="1"/>
        <v>76606.52472</v>
      </c>
      <c r="DI9" s="4">
        <f t="shared" si="1"/>
        <v>78138.65521</v>
      </c>
      <c r="DJ9" s="4">
        <f t="shared" si="1"/>
        <v>79701.42832</v>
      </c>
      <c r="DK9" s="4">
        <f t="shared" si="1"/>
        <v>81295.45688</v>
      </c>
      <c r="DL9" s="4">
        <f t="shared" si="1"/>
        <v>82921.36602</v>
      </c>
      <c r="DM9" s="4">
        <f t="shared" si="1"/>
        <v>84579.79334</v>
      </c>
      <c r="DN9" s="4">
        <f t="shared" si="1"/>
        <v>86271.38921</v>
      </c>
      <c r="DO9" s="4">
        <f t="shared" si="1"/>
        <v>87996.81699</v>
      </c>
      <c r="DP9" s="4">
        <f t="shared" si="1"/>
        <v>89756.75333</v>
      </c>
      <c r="DQ9" s="4">
        <f t="shared" si="1"/>
        <v>91551.8884</v>
      </c>
      <c r="DR9" s="4">
        <f t="shared" si="1"/>
        <v>93382.92617</v>
      </c>
      <c r="DS9" s="4">
        <f t="shared" si="1"/>
        <v>95250.58469</v>
      </c>
      <c r="DT9" s="4">
        <f t="shared" si="1"/>
        <v>97155.59638</v>
      </c>
      <c r="DU9" s="4">
        <f t="shared" si="1"/>
        <v>99098.70831</v>
      </c>
      <c r="DV9" s="4">
        <f t="shared" si="1"/>
        <v>101080.6825</v>
      </c>
      <c r="DW9" s="4">
        <f t="shared" si="1"/>
        <v>103102.2961</v>
      </c>
      <c r="DX9" s="4">
        <f t="shared" si="1"/>
        <v>105164.342</v>
      </c>
      <c r="DY9" s="4">
        <f t="shared" si="1"/>
        <v>107267.6289</v>
      </c>
      <c r="DZ9" s="4">
        <f t="shared" si="1"/>
        <v>109412.9815</v>
      </c>
      <c r="EA9" s="4">
        <f t="shared" si="1"/>
        <v>111601.2411</v>
      </c>
      <c r="EB9" s="4">
        <f t="shared" si="1"/>
        <v>113833.2659</v>
      </c>
      <c r="EC9" s="4">
        <f t="shared" si="1"/>
        <v>116109.9312</v>
      </c>
      <c r="ED9" s="4">
        <f t="shared" si="1"/>
        <v>118432.1299</v>
      </c>
      <c r="EE9" s="4">
        <f t="shared" si="1"/>
        <v>120800.7725</v>
      </c>
      <c r="EF9" s="4">
        <f t="shared" si="1"/>
        <v>123216.7879</v>
      </c>
      <c r="EG9" s="4">
        <f t="shared" si="1"/>
        <v>125681.1237</v>
      </c>
      <c r="EH9" s="4">
        <f t="shared" si="1"/>
        <v>128194.7461</v>
      </c>
      <c r="EI9" s="4">
        <f t="shared" si="1"/>
        <v>130758.6411</v>
      </c>
      <c r="EJ9" s="4">
        <f t="shared" si="1"/>
        <v>133373.8139</v>
      </c>
      <c r="EK9" s="4">
        <f t="shared" si="1"/>
        <v>136041.2902</v>
      </c>
      <c r="EL9" s="4">
        <f t="shared" si="1"/>
        <v>138762.116</v>
      </c>
      <c r="EM9" s="4">
        <f t="shared" si="1"/>
        <v>141537.3583</v>
      </c>
      <c r="EN9" s="4">
        <f t="shared" si="1"/>
        <v>144368.1055</v>
      </c>
      <c r="EO9" s="4">
        <f t="shared" si="1"/>
        <v>147255.4676</v>
      </c>
      <c r="EP9" s="4">
        <f t="shared" si="1"/>
        <v>150200.5769</v>
      </c>
      <c r="EQ9" s="4">
        <f t="shared" si="1"/>
        <v>153204.5884</v>
      </c>
      <c r="ER9" s="4">
        <f t="shared" si="1"/>
        <v>156268.6802</v>
      </c>
      <c r="ES9" s="4">
        <f t="shared" si="1"/>
        <v>159394.0538</v>
      </c>
      <c r="ET9" s="4">
        <f t="shared" si="1"/>
        <v>162581.9349</v>
      </c>
      <c r="EU9" s="4">
        <f t="shared" si="1"/>
        <v>165833.5736</v>
      </c>
      <c r="EV9" s="4">
        <f t="shared" si="1"/>
        <v>169150.2451</v>
      </c>
      <c r="EW9" s="4">
        <f t="shared" si="1"/>
        <v>172533.25</v>
      </c>
      <c r="EX9" s="4">
        <f t="shared" si="1"/>
        <v>175983.915</v>
      </c>
      <c r="EY9" s="4">
        <f t="shared" si="1"/>
        <v>179503.5933</v>
      </c>
      <c r="EZ9" s="4">
        <f t="shared" si="1"/>
        <v>183093.6651</v>
      </c>
      <c r="FA9" s="4">
        <f t="shared" si="1"/>
        <v>186755.5384</v>
      </c>
      <c r="FB9" s="4">
        <f t="shared" si="1"/>
        <v>190490.6492</v>
      </c>
      <c r="FC9" s="4">
        <f t="shared" si="1"/>
        <v>194300.4622</v>
      </c>
      <c r="FD9" s="4">
        <f t="shared" si="1"/>
        <v>198186.4714</v>
      </c>
      <c r="FE9" s="4">
        <f t="shared" si="1"/>
        <v>202150.2009</v>
      </c>
      <c r="FF9" s="4">
        <f t="shared" si="1"/>
        <v>206193.2049</v>
      </c>
      <c r="FG9" s="4">
        <f t="shared" si="1"/>
        <v>210317.069</v>
      </c>
      <c r="FH9" s="4">
        <f t="shared" si="1"/>
        <v>214523.4104</v>
      </c>
      <c r="FI9" s="4">
        <f t="shared" si="1"/>
        <v>218813.8786</v>
      </c>
      <c r="FJ9" s="4">
        <f t="shared" si="1"/>
        <v>223190.1561</v>
      </c>
      <c r="FK9" s="4">
        <f t="shared" si="1"/>
        <v>227653.9593</v>
      </c>
      <c r="FL9" s="4">
        <f t="shared" si="1"/>
        <v>232207.0384</v>
      </c>
      <c r="FM9" s="4">
        <f t="shared" si="1"/>
        <v>236851.1792</v>
      </c>
      <c r="FN9" s="4">
        <f t="shared" si="1"/>
        <v>241588.2028</v>
      </c>
      <c r="FO9" s="4">
        <f t="shared" si="1"/>
        <v>246419.9669</v>
      </c>
      <c r="FP9" s="4">
        <f t="shared" si="1"/>
        <v>251348.3662</v>
      </c>
      <c r="FQ9" s="4">
        <f t="shared" si="1"/>
        <v>256375.3335</v>
      </c>
      <c r="FR9" s="4">
        <f t="shared" si="1"/>
        <v>261502.8402</v>
      </c>
      <c r="FS9" s="4">
        <f t="shared" si="1"/>
        <v>266732.897</v>
      </c>
      <c r="FT9" s="4">
        <f t="shared" si="1"/>
        <v>272067.5549</v>
      </c>
      <c r="FU9" s="4">
        <f t="shared" si="1"/>
        <v>277508.906</v>
      </c>
      <c r="FV9" s="4">
        <f t="shared" si="1"/>
        <v>283059.0841</v>
      </c>
      <c r="FW9" s="4">
        <f t="shared" si="1"/>
        <v>288720.2658</v>
      </c>
      <c r="FX9" s="4">
        <f t="shared" si="1"/>
        <v>294494.6711</v>
      </c>
      <c r="FY9" s="4">
        <f t="shared" si="1"/>
        <v>300384.5646</v>
      </c>
      <c r="FZ9" s="4">
        <f t="shared" si="1"/>
        <v>306392.2559</v>
      </c>
      <c r="GA9" s="4">
        <f t="shared" si="1"/>
        <v>312520.101</v>
      </c>
      <c r="GB9" s="4">
        <f t="shared" si="1"/>
        <v>318770.503</v>
      </c>
      <c r="GC9" s="4">
        <f t="shared" si="1"/>
        <v>325145.9131</v>
      </c>
      <c r="GD9" s="4">
        <f t="shared" si="1"/>
        <v>331648.8313</v>
      </c>
      <c r="GE9" s="4">
        <f t="shared" si="1"/>
        <v>338281.8079</v>
      </c>
      <c r="GF9" s="4">
        <f t="shared" si="1"/>
        <v>345047.4441</v>
      </c>
      <c r="GG9" s="4">
        <f t="shared" si="1"/>
        <v>351948.393</v>
      </c>
      <c r="GH9" s="4">
        <f t="shared" si="1"/>
        <v>358987.3608</v>
      </c>
      <c r="GI9" s="4">
        <f t="shared" si="1"/>
        <v>366167.1081</v>
      </c>
      <c r="GJ9" s="4">
        <f t="shared" si="1"/>
        <v>373490.4502</v>
      </c>
      <c r="GK9" s="4">
        <f t="shared" si="1"/>
        <v>380960.2592</v>
      </c>
      <c r="GL9" s="4">
        <f t="shared" si="1"/>
        <v>388579.4644</v>
      </c>
      <c r="GM9" s="4">
        <f t="shared" si="1"/>
        <v>396351.0537</v>
      </c>
      <c r="GN9" s="4">
        <f t="shared" si="1"/>
        <v>404278.0748</v>
      </c>
      <c r="GO9" s="4">
        <f t="shared" si="1"/>
        <v>412363.6363</v>
      </c>
      <c r="GP9" s="4">
        <f t="shared" si="1"/>
        <v>420610.909</v>
      </c>
      <c r="GQ9" s="4">
        <f t="shared" si="1"/>
        <v>429023.1272</v>
      </c>
      <c r="GR9" s="4">
        <f t="shared" si="1"/>
        <v>437603.5897</v>
      </c>
      <c r="GS9" s="4">
        <f t="shared" si="1"/>
        <v>446355.6615</v>
      </c>
      <c r="GT9" s="4">
        <f t="shared" si="1"/>
        <v>455282.7747</v>
      </c>
      <c r="GU9" s="4">
        <f t="shared" si="1"/>
        <v>464388.4302</v>
      </c>
    </row>
    <row r="10" ht="12.0" customHeight="1">
      <c r="B10" s="11" t="s">
        <v>13</v>
      </c>
      <c r="C10" s="2"/>
      <c r="D10" s="12">
        <f t="shared" ref="D10:GU10" si="2">-(D9*$E$3)</f>
        <v>0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0</v>
      </c>
      <c r="I10" s="12">
        <f t="shared" si="2"/>
        <v>0</v>
      </c>
      <c r="J10" s="12">
        <f t="shared" si="2"/>
        <v>0</v>
      </c>
      <c r="K10" s="12">
        <f t="shared" si="2"/>
        <v>0</v>
      </c>
      <c r="L10" s="12">
        <f t="shared" si="2"/>
        <v>0</v>
      </c>
      <c r="M10" s="12">
        <f t="shared" si="2"/>
        <v>0</v>
      </c>
      <c r="N10" s="12">
        <f t="shared" si="2"/>
        <v>0</v>
      </c>
      <c r="O10" s="12">
        <f t="shared" si="2"/>
        <v>0</v>
      </c>
      <c r="P10" s="12">
        <f t="shared" si="2"/>
        <v>0</v>
      </c>
      <c r="Q10" s="12">
        <f t="shared" si="2"/>
        <v>0</v>
      </c>
      <c r="R10" s="12">
        <f t="shared" si="2"/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  <c r="AJ10" s="12">
        <f t="shared" si="2"/>
        <v>0</v>
      </c>
      <c r="AK10" s="12">
        <f t="shared" si="2"/>
        <v>0</v>
      </c>
      <c r="AL10" s="12">
        <f t="shared" si="2"/>
        <v>0</v>
      </c>
      <c r="AM10" s="12">
        <f t="shared" si="2"/>
        <v>0</v>
      </c>
      <c r="AN10" s="12">
        <f t="shared" si="2"/>
        <v>0</v>
      </c>
      <c r="AO10" s="12">
        <f t="shared" si="2"/>
        <v>0</v>
      </c>
      <c r="AP10" s="12">
        <f t="shared" si="2"/>
        <v>0</v>
      </c>
      <c r="AQ10" s="12">
        <f t="shared" si="2"/>
        <v>0</v>
      </c>
      <c r="AR10" s="12">
        <f t="shared" si="2"/>
        <v>0</v>
      </c>
      <c r="AS10" s="12">
        <f t="shared" si="2"/>
        <v>0</v>
      </c>
      <c r="AT10" s="12">
        <f t="shared" si="2"/>
        <v>0</v>
      </c>
      <c r="AU10" s="12">
        <f t="shared" si="2"/>
        <v>0</v>
      </c>
      <c r="AV10" s="12">
        <f t="shared" si="2"/>
        <v>0</v>
      </c>
      <c r="AW10" s="12">
        <f t="shared" si="2"/>
        <v>0</v>
      </c>
      <c r="AX10" s="12">
        <f t="shared" si="2"/>
        <v>0</v>
      </c>
      <c r="AY10" s="12">
        <f t="shared" si="2"/>
        <v>0</v>
      </c>
      <c r="AZ10" s="12">
        <f t="shared" si="2"/>
        <v>0</v>
      </c>
      <c r="BA10" s="12">
        <f t="shared" si="2"/>
        <v>0</v>
      </c>
      <c r="BB10" s="12">
        <f t="shared" si="2"/>
        <v>0</v>
      </c>
      <c r="BC10" s="12">
        <f t="shared" si="2"/>
        <v>0</v>
      </c>
      <c r="BD10" s="12">
        <f t="shared" si="2"/>
        <v>0</v>
      </c>
      <c r="BE10" s="12">
        <f t="shared" si="2"/>
        <v>0</v>
      </c>
      <c r="BF10" s="12">
        <f t="shared" si="2"/>
        <v>0</v>
      </c>
      <c r="BG10" s="12">
        <f t="shared" si="2"/>
        <v>0</v>
      </c>
      <c r="BH10" s="12">
        <f t="shared" si="2"/>
        <v>0</v>
      </c>
      <c r="BI10" s="12">
        <f t="shared" si="2"/>
        <v>0</v>
      </c>
      <c r="BJ10" s="12">
        <f t="shared" si="2"/>
        <v>0</v>
      </c>
      <c r="BK10" s="12">
        <f t="shared" si="2"/>
        <v>0</v>
      </c>
      <c r="BL10" s="12">
        <f t="shared" si="2"/>
        <v>0</v>
      </c>
      <c r="BM10" s="12">
        <f t="shared" si="2"/>
        <v>0</v>
      </c>
      <c r="BN10" s="12">
        <f t="shared" si="2"/>
        <v>0</v>
      </c>
      <c r="BO10" s="12">
        <f t="shared" si="2"/>
        <v>0</v>
      </c>
      <c r="BP10" s="12">
        <f t="shared" si="2"/>
        <v>0</v>
      </c>
      <c r="BQ10" s="12">
        <f t="shared" si="2"/>
        <v>0</v>
      </c>
      <c r="BR10" s="12">
        <f t="shared" si="2"/>
        <v>0</v>
      </c>
      <c r="BS10" s="12">
        <f t="shared" si="2"/>
        <v>0</v>
      </c>
      <c r="BT10" s="12">
        <f t="shared" si="2"/>
        <v>0</v>
      </c>
      <c r="BU10" s="12">
        <f t="shared" si="2"/>
        <v>0</v>
      </c>
      <c r="BV10" s="12">
        <f t="shared" si="2"/>
        <v>0</v>
      </c>
      <c r="BW10" s="12">
        <f t="shared" si="2"/>
        <v>0</v>
      </c>
      <c r="BX10" s="12">
        <f t="shared" si="2"/>
        <v>0</v>
      </c>
      <c r="BY10" s="12">
        <f t="shared" si="2"/>
        <v>0</v>
      </c>
      <c r="BZ10" s="12">
        <f t="shared" si="2"/>
        <v>0</v>
      </c>
      <c r="CA10" s="12">
        <f t="shared" si="2"/>
        <v>0</v>
      </c>
      <c r="CB10" s="12">
        <f t="shared" si="2"/>
        <v>0</v>
      </c>
      <c r="CC10" s="12">
        <f t="shared" si="2"/>
        <v>0</v>
      </c>
      <c r="CD10" s="12">
        <f t="shared" si="2"/>
        <v>0</v>
      </c>
      <c r="CE10" s="12">
        <f t="shared" si="2"/>
        <v>0</v>
      </c>
      <c r="CF10" s="12">
        <f t="shared" si="2"/>
        <v>0</v>
      </c>
      <c r="CG10" s="12">
        <f t="shared" si="2"/>
        <v>0</v>
      </c>
      <c r="CH10" s="12">
        <f t="shared" si="2"/>
        <v>0</v>
      </c>
      <c r="CI10" s="12">
        <f t="shared" si="2"/>
        <v>0</v>
      </c>
      <c r="CJ10" s="12">
        <f t="shared" si="2"/>
        <v>0</v>
      </c>
      <c r="CK10" s="12">
        <f t="shared" si="2"/>
        <v>0</v>
      </c>
      <c r="CL10" s="12">
        <f t="shared" si="2"/>
        <v>0</v>
      </c>
      <c r="CM10" s="12">
        <f t="shared" si="2"/>
        <v>0</v>
      </c>
      <c r="CN10" s="12">
        <f t="shared" si="2"/>
        <v>0</v>
      </c>
      <c r="CO10" s="12">
        <f t="shared" si="2"/>
        <v>0</v>
      </c>
      <c r="CP10" s="12">
        <f t="shared" si="2"/>
        <v>0</v>
      </c>
      <c r="CQ10" s="12">
        <f t="shared" si="2"/>
        <v>0</v>
      </c>
      <c r="CR10" s="12">
        <f t="shared" si="2"/>
        <v>0</v>
      </c>
      <c r="CS10" s="12">
        <f t="shared" si="2"/>
        <v>0</v>
      </c>
      <c r="CT10" s="12">
        <f t="shared" si="2"/>
        <v>0</v>
      </c>
      <c r="CU10" s="12">
        <f t="shared" si="2"/>
        <v>0</v>
      </c>
      <c r="CV10" s="12">
        <f t="shared" si="2"/>
        <v>0</v>
      </c>
      <c r="CW10" s="12">
        <f t="shared" si="2"/>
        <v>0</v>
      </c>
      <c r="CX10" s="12">
        <f t="shared" si="2"/>
        <v>0</v>
      </c>
      <c r="CY10" s="12">
        <f t="shared" si="2"/>
        <v>0</v>
      </c>
      <c r="CZ10" s="12">
        <f t="shared" si="2"/>
        <v>0</v>
      </c>
      <c r="DA10" s="12">
        <f t="shared" si="2"/>
        <v>0</v>
      </c>
      <c r="DB10" s="12">
        <f t="shared" si="2"/>
        <v>0</v>
      </c>
      <c r="DC10" s="12">
        <f t="shared" si="2"/>
        <v>0</v>
      </c>
      <c r="DD10" s="12">
        <f t="shared" si="2"/>
        <v>0</v>
      </c>
      <c r="DE10" s="12">
        <f t="shared" si="2"/>
        <v>0</v>
      </c>
      <c r="DF10" s="12">
        <f t="shared" si="2"/>
        <v>0</v>
      </c>
      <c r="DG10" s="12">
        <f t="shared" si="2"/>
        <v>0</v>
      </c>
      <c r="DH10" s="12">
        <f t="shared" si="2"/>
        <v>0</v>
      </c>
      <c r="DI10" s="12">
        <f t="shared" si="2"/>
        <v>0</v>
      </c>
      <c r="DJ10" s="12">
        <f t="shared" si="2"/>
        <v>0</v>
      </c>
      <c r="DK10" s="12">
        <f t="shared" si="2"/>
        <v>0</v>
      </c>
      <c r="DL10" s="12">
        <f t="shared" si="2"/>
        <v>0</v>
      </c>
      <c r="DM10" s="12">
        <f t="shared" si="2"/>
        <v>0</v>
      </c>
      <c r="DN10" s="12">
        <f t="shared" si="2"/>
        <v>0</v>
      </c>
      <c r="DO10" s="12">
        <f t="shared" si="2"/>
        <v>0</v>
      </c>
      <c r="DP10" s="12">
        <f t="shared" si="2"/>
        <v>0</v>
      </c>
      <c r="DQ10" s="12">
        <f t="shared" si="2"/>
        <v>0</v>
      </c>
      <c r="DR10" s="12">
        <f t="shared" si="2"/>
        <v>0</v>
      </c>
      <c r="DS10" s="12">
        <f t="shared" si="2"/>
        <v>0</v>
      </c>
      <c r="DT10" s="12">
        <f t="shared" si="2"/>
        <v>0</v>
      </c>
      <c r="DU10" s="12">
        <f t="shared" si="2"/>
        <v>0</v>
      </c>
      <c r="DV10" s="12">
        <f t="shared" si="2"/>
        <v>0</v>
      </c>
      <c r="DW10" s="12">
        <f t="shared" si="2"/>
        <v>0</v>
      </c>
      <c r="DX10" s="12">
        <f t="shared" si="2"/>
        <v>0</v>
      </c>
      <c r="DY10" s="12">
        <f t="shared" si="2"/>
        <v>0</v>
      </c>
      <c r="DZ10" s="12">
        <f t="shared" si="2"/>
        <v>0</v>
      </c>
      <c r="EA10" s="12">
        <f t="shared" si="2"/>
        <v>0</v>
      </c>
      <c r="EB10" s="12">
        <f t="shared" si="2"/>
        <v>0</v>
      </c>
      <c r="EC10" s="12">
        <f t="shared" si="2"/>
        <v>0</v>
      </c>
      <c r="ED10" s="12">
        <f t="shared" si="2"/>
        <v>0</v>
      </c>
      <c r="EE10" s="12">
        <f t="shared" si="2"/>
        <v>0</v>
      </c>
      <c r="EF10" s="12">
        <f t="shared" si="2"/>
        <v>0</v>
      </c>
      <c r="EG10" s="12">
        <f t="shared" si="2"/>
        <v>0</v>
      </c>
      <c r="EH10" s="12">
        <f t="shared" si="2"/>
        <v>0</v>
      </c>
      <c r="EI10" s="12">
        <f t="shared" si="2"/>
        <v>0</v>
      </c>
      <c r="EJ10" s="12">
        <f t="shared" si="2"/>
        <v>0</v>
      </c>
      <c r="EK10" s="12">
        <f t="shared" si="2"/>
        <v>0</v>
      </c>
      <c r="EL10" s="12">
        <f t="shared" si="2"/>
        <v>0</v>
      </c>
      <c r="EM10" s="12">
        <f t="shared" si="2"/>
        <v>0</v>
      </c>
      <c r="EN10" s="12">
        <f t="shared" si="2"/>
        <v>0</v>
      </c>
      <c r="EO10" s="12">
        <f t="shared" si="2"/>
        <v>0</v>
      </c>
      <c r="EP10" s="12">
        <f t="shared" si="2"/>
        <v>0</v>
      </c>
      <c r="EQ10" s="12">
        <f t="shared" si="2"/>
        <v>0</v>
      </c>
      <c r="ER10" s="12">
        <f t="shared" si="2"/>
        <v>0</v>
      </c>
      <c r="ES10" s="12">
        <f t="shared" si="2"/>
        <v>0</v>
      </c>
      <c r="ET10" s="12">
        <f t="shared" si="2"/>
        <v>0</v>
      </c>
      <c r="EU10" s="12">
        <f t="shared" si="2"/>
        <v>0</v>
      </c>
      <c r="EV10" s="12">
        <f t="shared" si="2"/>
        <v>0</v>
      </c>
      <c r="EW10" s="12">
        <f t="shared" si="2"/>
        <v>0</v>
      </c>
      <c r="EX10" s="12">
        <f t="shared" si="2"/>
        <v>0</v>
      </c>
      <c r="EY10" s="12">
        <f t="shared" si="2"/>
        <v>0</v>
      </c>
      <c r="EZ10" s="12">
        <f t="shared" si="2"/>
        <v>0</v>
      </c>
      <c r="FA10" s="12">
        <f t="shared" si="2"/>
        <v>0</v>
      </c>
      <c r="FB10" s="12">
        <f t="shared" si="2"/>
        <v>0</v>
      </c>
      <c r="FC10" s="12">
        <f t="shared" si="2"/>
        <v>0</v>
      </c>
      <c r="FD10" s="12">
        <f t="shared" si="2"/>
        <v>0</v>
      </c>
      <c r="FE10" s="12">
        <f t="shared" si="2"/>
        <v>0</v>
      </c>
      <c r="FF10" s="12">
        <f t="shared" si="2"/>
        <v>0</v>
      </c>
      <c r="FG10" s="12">
        <f t="shared" si="2"/>
        <v>0</v>
      </c>
      <c r="FH10" s="12">
        <f t="shared" si="2"/>
        <v>0</v>
      </c>
      <c r="FI10" s="12">
        <f t="shared" si="2"/>
        <v>0</v>
      </c>
      <c r="FJ10" s="12">
        <f t="shared" si="2"/>
        <v>0</v>
      </c>
      <c r="FK10" s="12">
        <f t="shared" si="2"/>
        <v>0</v>
      </c>
      <c r="FL10" s="12">
        <f t="shared" si="2"/>
        <v>0</v>
      </c>
      <c r="FM10" s="12">
        <f t="shared" si="2"/>
        <v>0</v>
      </c>
      <c r="FN10" s="12">
        <f t="shared" si="2"/>
        <v>0</v>
      </c>
      <c r="FO10" s="12">
        <f t="shared" si="2"/>
        <v>0</v>
      </c>
      <c r="FP10" s="12">
        <f t="shared" si="2"/>
        <v>0</v>
      </c>
      <c r="FQ10" s="12">
        <f t="shared" si="2"/>
        <v>0</v>
      </c>
      <c r="FR10" s="12">
        <f t="shared" si="2"/>
        <v>0</v>
      </c>
      <c r="FS10" s="12">
        <f t="shared" si="2"/>
        <v>0</v>
      </c>
      <c r="FT10" s="12">
        <f t="shared" si="2"/>
        <v>0</v>
      </c>
      <c r="FU10" s="12">
        <f t="shared" si="2"/>
        <v>0</v>
      </c>
      <c r="FV10" s="12">
        <f t="shared" si="2"/>
        <v>0</v>
      </c>
      <c r="FW10" s="12">
        <f t="shared" si="2"/>
        <v>0</v>
      </c>
      <c r="FX10" s="12">
        <f t="shared" si="2"/>
        <v>0</v>
      </c>
      <c r="FY10" s="12">
        <f t="shared" si="2"/>
        <v>0</v>
      </c>
      <c r="FZ10" s="12">
        <f t="shared" si="2"/>
        <v>0</v>
      </c>
      <c r="GA10" s="12">
        <f t="shared" si="2"/>
        <v>0</v>
      </c>
      <c r="GB10" s="12">
        <f t="shared" si="2"/>
        <v>0</v>
      </c>
      <c r="GC10" s="12">
        <f t="shared" si="2"/>
        <v>0</v>
      </c>
      <c r="GD10" s="12">
        <f t="shared" si="2"/>
        <v>0</v>
      </c>
      <c r="GE10" s="12">
        <f t="shared" si="2"/>
        <v>0</v>
      </c>
      <c r="GF10" s="12">
        <f t="shared" si="2"/>
        <v>0</v>
      </c>
      <c r="GG10" s="12">
        <f t="shared" si="2"/>
        <v>0</v>
      </c>
      <c r="GH10" s="12">
        <f t="shared" si="2"/>
        <v>0</v>
      </c>
      <c r="GI10" s="12">
        <f t="shared" si="2"/>
        <v>0</v>
      </c>
      <c r="GJ10" s="12">
        <f t="shared" si="2"/>
        <v>0</v>
      </c>
      <c r="GK10" s="12">
        <f t="shared" si="2"/>
        <v>0</v>
      </c>
      <c r="GL10" s="12">
        <f t="shared" si="2"/>
        <v>0</v>
      </c>
      <c r="GM10" s="12">
        <f t="shared" si="2"/>
        <v>0</v>
      </c>
      <c r="GN10" s="12">
        <f t="shared" si="2"/>
        <v>0</v>
      </c>
      <c r="GO10" s="12">
        <f t="shared" si="2"/>
        <v>0</v>
      </c>
      <c r="GP10" s="12">
        <f t="shared" si="2"/>
        <v>0</v>
      </c>
      <c r="GQ10" s="12">
        <f t="shared" si="2"/>
        <v>0</v>
      </c>
      <c r="GR10" s="12">
        <f t="shared" si="2"/>
        <v>0</v>
      </c>
      <c r="GS10" s="12">
        <f t="shared" si="2"/>
        <v>0</v>
      </c>
      <c r="GT10" s="12">
        <f t="shared" si="2"/>
        <v>0</v>
      </c>
      <c r="GU10" s="12">
        <f t="shared" si="2"/>
        <v>0</v>
      </c>
    </row>
    <row r="11" ht="12.0" customHeight="1">
      <c r="B11" s="2" t="s">
        <v>14</v>
      </c>
      <c r="C11" s="2"/>
      <c r="D11" s="4">
        <f t="shared" ref="D11:GU11" si="3">SUM(D9:D10)</f>
        <v>9025</v>
      </c>
      <c r="E11" s="4">
        <f t="shared" si="3"/>
        <v>9205.5</v>
      </c>
      <c r="F11" s="4">
        <f t="shared" si="3"/>
        <v>9389.61</v>
      </c>
      <c r="G11" s="4">
        <f t="shared" si="3"/>
        <v>9577.4022</v>
      </c>
      <c r="H11" s="4">
        <f t="shared" si="3"/>
        <v>9768.950244</v>
      </c>
      <c r="I11" s="4">
        <f t="shared" si="3"/>
        <v>9964.329249</v>
      </c>
      <c r="J11" s="4">
        <f t="shared" si="3"/>
        <v>10163.61583</v>
      </c>
      <c r="K11" s="4">
        <f t="shared" si="3"/>
        <v>10366.88815</v>
      </c>
      <c r="L11" s="4">
        <f t="shared" si="3"/>
        <v>10574.22591</v>
      </c>
      <c r="M11" s="4">
        <f t="shared" si="3"/>
        <v>10785.71043</v>
      </c>
      <c r="N11" s="4">
        <f t="shared" si="3"/>
        <v>11001.42464</v>
      </c>
      <c r="O11" s="4">
        <f t="shared" si="3"/>
        <v>11221.45313</v>
      </c>
      <c r="P11" s="4">
        <f t="shared" si="3"/>
        <v>11445.8822</v>
      </c>
      <c r="Q11" s="4">
        <f t="shared" si="3"/>
        <v>11674.79984</v>
      </c>
      <c r="R11" s="4">
        <f t="shared" si="3"/>
        <v>11908.29584</v>
      </c>
      <c r="S11" s="4">
        <f t="shared" si="3"/>
        <v>12146.46175</v>
      </c>
      <c r="T11" s="4">
        <f t="shared" si="3"/>
        <v>12389.39099</v>
      </c>
      <c r="U11" s="4">
        <f t="shared" si="3"/>
        <v>12637.17881</v>
      </c>
      <c r="V11" s="4">
        <f t="shared" si="3"/>
        <v>12889.92238</v>
      </c>
      <c r="W11" s="4">
        <f t="shared" si="3"/>
        <v>13147.72083</v>
      </c>
      <c r="X11" s="4">
        <f t="shared" si="3"/>
        <v>13410.67525</v>
      </c>
      <c r="Y11" s="4">
        <f t="shared" si="3"/>
        <v>13678.88875</v>
      </c>
      <c r="Z11" s="4">
        <f t="shared" si="3"/>
        <v>13952.46653</v>
      </c>
      <c r="AA11" s="4">
        <f t="shared" si="3"/>
        <v>14231.51586</v>
      </c>
      <c r="AB11" s="4">
        <f t="shared" si="3"/>
        <v>14516.14618</v>
      </c>
      <c r="AC11" s="4">
        <f t="shared" si="3"/>
        <v>14806.4691</v>
      </c>
      <c r="AD11" s="4">
        <f t="shared" si="3"/>
        <v>15102.59848</v>
      </c>
      <c r="AE11" s="4">
        <f t="shared" si="3"/>
        <v>15404.65045</v>
      </c>
      <c r="AF11" s="4">
        <f t="shared" si="3"/>
        <v>15712.74346</v>
      </c>
      <c r="AG11" s="4">
        <f t="shared" si="3"/>
        <v>16026.99833</v>
      </c>
      <c r="AH11" s="4">
        <f t="shared" si="3"/>
        <v>16347.5383</v>
      </c>
      <c r="AI11" s="4">
        <f t="shared" si="3"/>
        <v>16674.48906</v>
      </c>
      <c r="AJ11" s="4">
        <f t="shared" si="3"/>
        <v>17007.97884</v>
      </c>
      <c r="AK11" s="4">
        <f t="shared" si="3"/>
        <v>17348.13842</v>
      </c>
      <c r="AL11" s="4">
        <f t="shared" si="3"/>
        <v>17695.10119</v>
      </c>
      <c r="AM11" s="4">
        <f t="shared" si="3"/>
        <v>18049.00321</v>
      </c>
      <c r="AN11" s="4">
        <f t="shared" si="3"/>
        <v>18409.98328</v>
      </c>
      <c r="AO11" s="4">
        <f t="shared" si="3"/>
        <v>18778.18294</v>
      </c>
      <c r="AP11" s="4">
        <f t="shared" si="3"/>
        <v>19153.7466</v>
      </c>
      <c r="AQ11" s="4">
        <f t="shared" si="3"/>
        <v>19536.82153</v>
      </c>
      <c r="AR11" s="4">
        <f t="shared" si="3"/>
        <v>19927.55796</v>
      </c>
      <c r="AS11" s="4">
        <f t="shared" si="3"/>
        <v>20326.10912</v>
      </c>
      <c r="AT11" s="4">
        <f t="shared" si="3"/>
        <v>20732.63131</v>
      </c>
      <c r="AU11" s="4">
        <f t="shared" si="3"/>
        <v>21147.28393</v>
      </c>
      <c r="AV11" s="4">
        <f t="shared" si="3"/>
        <v>21570.22961</v>
      </c>
      <c r="AW11" s="4">
        <f t="shared" si="3"/>
        <v>22001.6342</v>
      </c>
      <c r="AX11" s="4">
        <f t="shared" si="3"/>
        <v>22441.66689</v>
      </c>
      <c r="AY11" s="4">
        <f t="shared" si="3"/>
        <v>22890.50022</v>
      </c>
      <c r="AZ11" s="4">
        <f t="shared" si="3"/>
        <v>23348.31023</v>
      </c>
      <c r="BA11" s="4">
        <f t="shared" si="3"/>
        <v>23815.27643</v>
      </c>
      <c r="BB11" s="4">
        <f t="shared" si="3"/>
        <v>24291.58196</v>
      </c>
      <c r="BC11" s="4">
        <f t="shared" si="3"/>
        <v>24777.4136</v>
      </c>
      <c r="BD11" s="4">
        <f t="shared" si="3"/>
        <v>25272.96187</v>
      </c>
      <c r="BE11" s="4">
        <f t="shared" si="3"/>
        <v>25778.42111</v>
      </c>
      <c r="BF11" s="4">
        <f t="shared" si="3"/>
        <v>26293.98953</v>
      </c>
      <c r="BG11" s="4">
        <f t="shared" si="3"/>
        <v>26819.86932</v>
      </c>
      <c r="BH11" s="4">
        <f t="shared" si="3"/>
        <v>27356.26671</v>
      </c>
      <c r="BI11" s="4">
        <f t="shared" si="3"/>
        <v>27903.39204</v>
      </c>
      <c r="BJ11" s="4">
        <f t="shared" si="3"/>
        <v>28461.45989</v>
      </c>
      <c r="BK11" s="4">
        <f t="shared" si="3"/>
        <v>29030.68908</v>
      </c>
      <c r="BL11" s="4">
        <f t="shared" si="3"/>
        <v>29611.30286</v>
      </c>
      <c r="BM11" s="4">
        <f t="shared" si="3"/>
        <v>30203.52892</v>
      </c>
      <c r="BN11" s="4">
        <f t="shared" si="3"/>
        <v>30807.5995</v>
      </c>
      <c r="BO11" s="4">
        <f t="shared" si="3"/>
        <v>31423.75149</v>
      </c>
      <c r="BP11" s="4">
        <f t="shared" si="3"/>
        <v>32052.22652</v>
      </c>
      <c r="BQ11" s="4">
        <f t="shared" si="3"/>
        <v>32693.27105</v>
      </c>
      <c r="BR11" s="4">
        <f t="shared" si="3"/>
        <v>33347.13647</v>
      </c>
      <c r="BS11" s="4">
        <f t="shared" si="3"/>
        <v>34014.0792</v>
      </c>
      <c r="BT11" s="4">
        <f t="shared" si="3"/>
        <v>34694.36079</v>
      </c>
      <c r="BU11" s="4">
        <f t="shared" si="3"/>
        <v>35388.248</v>
      </c>
      <c r="BV11" s="4">
        <f t="shared" si="3"/>
        <v>36096.01296</v>
      </c>
      <c r="BW11" s="4">
        <f t="shared" si="3"/>
        <v>36817.93322</v>
      </c>
      <c r="BX11" s="4">
        <f t="shared" si="3"/>
        <v>37554.29188</v>
      </c>
      <c r="BY11" s="4">
        <f t="shared" si="3"/>
        <v>38305.37772</v>
      </c>
      <c r="BZ11" s="4">
        <f t="shared" si="3"/>
        <v>39071.48528</v>
      </c>
      <c r="CA11" s="4">
        <f t="shared" si="3"/>
        <v>39852.91498</v>
      </c>
      <c r="CB11" s="4">
        <f t="shared" si="3"/>
        <v>40649.97328</v>
      </c>
      <c r="CC11" s="4">
        <f t="shared" si="3"/>
        <v>41462.97275</v>
      </c>
      <c r="CD11" s="4">
        <f t="shared" si="3"/>
        <v>42292.2322</v>
      </c>
      <c r="CE11" s="4">
        <f t="shared" si="3"/>
        <v>43138.07685</v>
      </c>
      <c r="CF11" s="4">
        <f t="shared" si="3"/>
        <v>44000.83838</v>
      </c>
      <c r="CG11" s="4">
        <f t="shared" si="3"/>
        <v>44880.85515</v>
      </c>
      <c r="CH11" s="4">
        <f t="shared" si="3"/>
        <v>45778.47225</v>
      </c>
      <c r="CI11" s="4">
        <f t="shared" si="3"/>
        <v>46694.0417</v>
      </c>
      <c r="CJ11" s="4">
        <f t="shared" si="3"/>
        <v>47627.92253</v>
      </c>
      <c r="CK11" s="4">
        <f t="shared" si="3"/>
        <v>48580.48098</v>
      </c>
      <c r="CL11" s="4">
        <f t="shared" si="3"/>
        <v>49552.0906</v>
      </c>
      <c r="CM11" s="4">
        <f t="shared" si="3"/>
        <v>50543.13242</v>
      </c>
      <c r="CN11" s="4">
        <f t="shared" si="3"/>
        <v>51553.99506</v>
      </c>
      <c r="CO11" s="4">
        <f t="shared" si="3"/>
        <v>52585.07497</v>
      </c>
      <c r="CP11" s="4">
        <f t="shared" si="3"/>
        <v>53636.77646</v>
      </c>
      <c r="CQ11" s="4">
        <f t="shared" si="3"/>
        <v>54709.51199</v>
      </c>
      <c r="CR11" s="4">
        <f t="shared" si="3"/>
        <v>55803.70223</v>
      </c>
      <c r="CS11" s="4">
        <f t="shared" si="3"/>
        <v>56919.77628</v>
      </c>
      <c r="CT11" s="4">
        <f t="shared" si="3"/>
        <v>58058.1718</v>
      </c>
      <c r="CU11" s="4">
        <f t="shared" si="3"/>
        <v>59219.33524</v>
      </c>
      <c r="CV11" s="4">
        <f t="shared" si="3"/>
        <v>60403.72195</v>
      </c>
      <c r="CW11" s="4">
        <f t="shared" si="3"/>
        <v>61611.79638</v>
      </c>
      <c r="CX11" s="4">
        <f t="shared" si="3"/>
        <v>62844.03231</v>
      </c>
      <c r="CY11" s="4">
        <f t="shared" si="3"/>
        <v>64100.91296</v>
      </c>
      <c r="CZ11" s="4">
        <f t="shared" si="3"/>
        <v>65382.93122</v>
      </c>
      <c r="DA11" s="4">
        <f t="shared" si="3"/>
        <v>66690.58984</v>
      </c>
      <c r="DB11" s="4">
        <f t="shared" si="3"/>
        <v>68024.40164</v>
      </c>
      <c r="DC11" s="4">
        <f t="shared" si="3"/>
        <v>69384.88967</v>
      </c>
      <c r="DD11" s="4">
        <f t="shared" si="3"/>
        <v>70772.58746</v>
      </c>
      <c r="DE11" s="4">
        <f t="shared" si="3"/>
        <v>72188.03921</v>
      </c>
      <c r="DF11" s="4">
        <f t="shared" si="3"/>
        <v>73631.8</v>
      </c>
      <c r="DG11" s="4">
        <f t="shared" si="3"/>
        <v>75104.436</v>
      </c>
      <c r="DH11" s="4">
        <f t="shared" si="3"/>
        <v>76606.52472</v>
      </c>
      <c r="DI11" s="4">
        <f t="shared" si="3"/>
        <v>78138.65521</v>
      </c>
      <c r="DJ11" s="4">
        <f t="shared" si="3"/>
        <v>79701.42832</v>
      </c>
      <c r="DK11" s="4">
        <f t="shared" si="3"/>
        <v>81295.45688</v>
      </c>
      <c r="DL11" s="4">
        <f t="shared" si="3"/>
        <v>82921.36602</v>
      </c>
      <c r="DM11" s="4">
        <f t="shared" si="3"/>
        <v>84579.79334</v>
      </c>
      <c r="DN11" s="4">
        <f t="shared" si="3"/>
        <v>86271.38921</v>
      </c>
      <c r="DO11" s="4">
        <f t="shared" si="3"/>
        <v>87996.81699</v>
      </c>
      <c r="DP11" s="4">
        <f t="shared" si="3"/>
        <v>89756.75333</v>
      </c>
      <c r="DQ11" s="4">
        <f t="shared" si="3"/>
        <v>91551.8884</v>
      </c>
      <c r="DR11" s="4">
        <f t="shared" si="3"/>
        <v>93382.92617</v>
      </c>
      <c r="DS11" s="4">
        <f t="shared" si="3"/>
        <v>95250.58469</v>
      </c>
      <c r="DT11" s="4">
        <f t="shared" si="3"/>
        <v>97155.59638</v>
      </c>
      <c r="DU11" s="4">
        <f t="shared" si="3"/>
        <v>99098.70831</v>
      </c>
      <c r="DV11" s="4">
        <f t="shared" si="3"/>
        <v>101080.6825</v>
      </c>
      <c r="DW11" s="4">
        <f t="shared" si="3"/>
        <v>103102.2961</v>
      </c>
      <c r="DX11" s="4">
        <f t="shared" si="3"/>
        <v>105164.342</v>
      </c>
      <c r="DY11" s="4">
        <f t="shared" si="3"/>
        <v>107267.6289</v>
      </c>
      <c r="DZ11" s="4">
        <f t="shared" si="3"/>
        <v>109412.9815</v>
      </c>
      <c r="EA11" s="4">
        <f t="shared" si="3"/>
        <v>111601.2411</v>
      </c>
      <c r="EB11" s="4">
        <f t="shared" si="3"/>
        <v>113833.2659</v>
      </c>
      <c r="EC11" s="4">
        <f t="shared" si="3"/>
        <v>116109.9312</v>
      </c>
      <c r="ED11" s="4">
        <f t="shared" si="3"/>
        <v>118432.1299</v>
      </c>
      <c r="EE11" s="4">
        <f t="shared" si="3"/>
        <v>120800.7725</v>
      </c>
      <c r="EF11" s="4">
        <f t="shared" si="3"/>
        <v>123216.7879</v>
      </c>
      <c r="EG11" s="4">
        <f t="shared" si="3"/>
        <v>125681.1237</v>
      </c>
      <c r="EH11" s="4">
        <f t="shared" si="3"/>
        <v>128194.7461</v>
      </c>
      <c r="EI11" s="4">
        <f t="shared" si="3"/>
        <v>130758.6411</v>
      </c>
      <c r="EJ11" s="4">
        <f t="shared" si="3"/>
        <v>133373.8139</v>
      </c>
      <c r="EK11" s="4">
        <f t="shared" si="3"/>
        <v>136041.2902</v>
      </c>
      <c r="EL11" s="4">
        <f t="shared" si="3"/>
        <v>138762.116</v>
      </c>
      <c r="EM11" s="4">
        <f t="shared" si="3"/>
        <v>141537.3583</v>
      </c>
      <c r="EN11" s="4">
        <f t="shared" si="3"/>
        <v>144368.1055</v>
      </c>
      <c r="EO11" s="4">
        <f t="shared" si="3"/>
        <v>147255.4676</v>
      </c>
      <c r="EP11" s="4">
        <f t="shared" si="3"/>
        <v>150200.5769</v>
      </c>
      <c r="EQ11" s="4">
        <f t="shared" si="3"/>
        <v>153204.5884</v>
      </c>
      <c r="ER11" s="4">
        <f t="shared" si="3"/>
        <v>156268.6802</v>
      </c>
      <c r="ES11" s="4">
        <f t="shared" si="3"/>
        <v>159394.0538</v>
      </c>
      <c r="ET11" s="4">
        <f t="shared" si="3"/>
        <v>162581.9349</v>
      </c>
      <c r="EU11" s="4">
        <f t="shared" si="3"/>
        <v>165833.5736</v>
      </c>
      <c r="EV11" s="4">
        <f t="shared" si="3"/>
        <v>169150.2451</v>
      </c>
      <c r="EW11" s="4">
        <f t="shared" si="3"/>
        <v>172533.25</v>
      </c>
      <c r="EX11" s="4">
        <f t="shared" si="3"/>
        <v>175983.915</v>
      </c>
      <c r="EY11" s="4">
        <f t="shared" si="3"/>
        <v>179503.5933</v>
      </c>
      <c r="EZ11" s="4">
        <f t="shared" si="3"/>
        <v>183093.6651</v>
      </c>
      <c r="FA11" s="4">
        <f t="shared" si="3"/>
        <v>186755.5384</v>
      </c>
      <c r="FB11" s="4">
        <f t="shared" si="3"/>
        <v>190490.6492</v>
      </c>
      <c r="FC11" s="4">
        <f t="shared" si="3"/>
        <v>194300.4622</v>
      </c>
      <c r="FD11" s="4">
        <f t="shared" si="3"/>
        <v>198186.4714</v>
      </c>
      <c r="FE11" s="4">
        <f t="shared" si="3"/>
        <v>202150.2009</v>
      </c>
      <c r="FF11" s="4">
        <f t="shared" si="3"/>
        <v>206193.2049</v>
      </c>
      <c r="FG11" s="4">
        <f t="shared" si="3"/>
        <v>210317.069</v>
      </c>
      <c r="FH11" s="4">
        <f t="shared" si="3"/>
        <v>214523.4104</v>
      </c>
      <c r="FI11" s="4">
        <f t="shared" si="3"/>
        <v>218813.8786</v>
      </c>
      <c r="FJ11" s="4">
        <f t="shared" si="3"/>
        <v>223190.1561</v>
      </c>
      <c r="FK11" s="4">
        <f t="shared" si="3"/>
        <v>227653.9593</v>
      </c>
      <c r="FL11" s="4">
        <f t="shared" si="3"/>
        <v>232207.0384</v>
      </c>
      <c r="FM11" s="4">
        <f t="shared" si="3"/>
        <v>236851.1792</v>
      </c>
      <c r="FN11" s="4">
        <f t="shared" si="3"/>
        <v>241588.2028</v>
      </c>
      <c r="FO11" s="4">
        <f t="shared" si="3"/>
        <v>246419.9669</v>
      </c>
      <c r="FP11" s="4">
        <f t="shared" si="3"/>
        <v>251348.3662</v>
      </c>
      <c r="FQ11" s="4">
        <f t="shared" si="3"/>
        <v>256375.3335</v>
      </c>
      <c r="FR11" s="4">
        <f t="shared" si="3"/>
        <v>261502.8402</v>
      </c>
      <c r="FS11" s="4">
        <f t="shared" si="3"/>
        <v>266732.897</v>
      </c>
      <c r="FT11" s="4">
        <f t="shared" si="3"/>
        <v>272067.5549</v>
      </c>
      <c r="FU11" s="4">
        <f t="shared" si="3"/>
        <v>277508.906</v>
      </c>
      <c r="FV11" s="4">
        <f t="shared" si="3"/>
        <v>283059.0841</v>
      </c>
      <c r="FW11" s="4">
        <f t="shared" si="3"/>
        <v>288720.2658</v>
      </c>
      <c r="FX11" s="4">
        <f t="shared" si="3"/>
        <v>294494.6711</v>
      </c>
      <c r="FY11" s="4">
        <f t="shared" si="3"/>
        <v>300384.5646</v>
      </c>
      <c r="FZ11" s="4">
        <f t="shared" si="3"/>
        <v>306392.2559</v>
      </c>
      <c r="GA11" s="4">
        <f t="shared" si="3"/>
        <v>312520.101</v>
      </c>
      <c r="GB11" s="4">
        <f t="shared" si="3"/>
        <v>318770.503</v>
      </c>
      <c r="GC11" s="4">
        <f t="shared" si="3"/>
        <v>325145.9131</v>
      </c>
      <c r="GD11" s="4">
        <f t="shared" si="3"/>
        <v>331648.8313</v>
      </c>
      <c r="GE11" s="4">
        <f t="shared" si="3"/>
        <v>338281.8079</v>
      </c>
      <c r="GF11" s="4">
        <f t="shared" si="3"/>
        <v>345047.4441</v>
      </c>
      <c r="GG11" s="4">
        <f t="shared" si="3"/>
        <v>351948.393</v>
      </c>
      <c r="GH11" s="4">
        <f t="shared" si="3"/>
        <v>358987.3608</v>
      </c>
      <c r="GI11" s="4">
        <f t="shared" si="3"/>
        <v>366167.1081</v>
      </c>
      <c r="GJ11" s="4">
        <f t="shared" si="3"/>
        <v>373490.4502</v>
      </c>
      <c r="GK11" s="4">
        <f t="shared" si="3"/>
        <v>380960.2592</v>
      </c>
      <c r="GL11" s="4">
        <f t="shared" si="3"/>
        <v>388579.4644</v>
      </c>
      <c r="GM11" s="4">
        <f t="shared" si="3"/>
        <v>396351.0537</v>
      </c>
      <c r="GN11" s="4">
        <f t="shared" si="3"/>
        <v>404278.0748</v>
      </c>
      <c r="GO11" s="4">
        <f t="shared" si="3"/>
        <v>412363.6363</v>
      </c>
      <c r="GP11" s="4">
        <f t="shared" si="3"/>
        <v>420610.909</v>
      </c>
      <c r="GQ11" s="4">
        <f t="shared" si="3"/>
        <v>429023.1272</v>
      </c>
      <c r="GR11" s="4">
        <f t="shared" si="3"/>
        <v>437603.5897</v>
      </c>
      <c r="GS11" s="4">
        <f t="shared" si="3"/>
        <v>446355.6615</v>
      </c>
      <c r="GT11" s="4">
        <f t="shared" si="3"/>
        <v>455282.7747</v>
      </c>
      <c r="GU11" s="4">
        <f t="shared" si="3"/>
        <v>464388.4302</v>
      </c>
    </row>
    <row r="12" ht="12.0" customHeight="1">
      <c r="B12" s="1" t="s">
        <v>15</v>
      </c>
      <c r="C12" s="2"/>
      <c r="D12" s="12">
        <f t="shared" ref="D12:GU12" si="4">-D11*$E$4</f>
        <v>0</v>
      </c>
      <c r="E12" s="12">
        <f t="shared" si="4"/>
        <v>0</v>
      </c>
      <c r="F12" s="12">
        <f t="shared" si="4"/>
        <v>0</v>
      </c>
      <c r="G12" s="12">
        <f t="shared" si="4"/>
        <v>0</v>
      </c>
      <c r="H12" s="12">
        <f t="shared" si="4"/>
        <v>0</v>
      </c>
      <c r="I12" s="12">
        <f t="shared" si="4"/>
        <v>0</v>
      </c>
      <c r="J12" s="12">
        <f t="shared" si="4"/>
        <v>0</v>
      </c>
      <c r="K12" s="12">
        <f t="shared" si="4"/>
        <v>0</v>
      </c>
      <c r="L12" s="12">
        <f t="shared" si="4"/>
        <v>0</v>
      </c>
      <c r="M12" s="12">
        <f t="shared" si="4"/>
        <v>0</v>
      </c>
      <c r="N12" s="12">
        <f t="shared" si="4"/>
        <v>0</v>
      </c>
      <c r="O12" s="12">
        <f t="shared" si="4"/>
        <v>0</v>
      </c>
      <c r="P12" s="12">
        <f t="shared" si="4"/>
        <v>0</v>
      </c>
      <c r="Q12" s="12">
        <f t="shared" si="4"/>
        <v>0</v>
      </c>
      <c r="R12" s="12">
        <f t="shared" si="4"/>
        <v>0</v>
      </c>
      <c r="S12" s="12">
        <f t="shared" si="4"/>
        <v>0</v>
      </c>
      <c r="T12" s="12">
        <f t="shared" si="4"/>
        <v>0</v>
      </c>
      <c r="U12" s="12">
        <f t="shared" si="4"/>
        <v>0</v>
      </c>
      <c r="V12" s="12">
        <f t="shared" si="4"/>
        <v>0</v>
      </c>
      <c r="W12" s="12">
        <f t="shared" si="4"/>
        <v>0</v>
      </c>
      <c r="X12" s="12">
        <f t="shared" si="4"/>
        <v>0</v>
      </c>
      <c r="Y12" s="12">
        <f t="shared" si="4"/>
        <v>0</v>
      </c>
      <c r="Z12" s="12">
        <f t="shared" si="4"/>
        <v>0</v>
      </c>
      <c r="AA12" s="12">
        <f t="shared" si="4"/>
        <v>0</v>
      </c>
      <c r="AB12" s="12">
        <f t="shared" si="4"/>
        <v>0</v>
      </c>
      <c r="AC12" s="12">
        <f t="shared" si="4"/>
        <v>0</v>
      </c>
      <c r="AD12" s="12">
        <f t="shared" si="4"/>
        <v>0</v>
      </c>
      <c r="AE12" s="12">
        <f t="shared" si="4"/>
        <v>0</v>
      </c>
      <c r="AF12" s="12">
        <f t="shared" si="4"/>
        <v>0</v>
      </c>
      <c r="AG12" s="12">
        <f t="shared" si="4"/>
        <v>0</v>
      </c>
      <c r="AH12" s="12">
        <f t="shared" si="4"/>
        <v>0</v>
      </c>
      <c r="AI12" s="12">
        <f t="shared" si="4"/>
        <v>0</v>
      </c>
      <c r="AJ12" s="12">
        <f t="shared" si="4"/>
        <v>0</v>
      </c>
      <c r="AK12" s="12">
        <f t="shared" si="4"/>
        <v>0</v>
      </c>
      <c r="AL12" s="12">
        <f t="shared" si="4"/>
        <v>0</v>
      </c>
      <c r="AM12" s="12">
        <f t="shared" si="4"/>
        <v>0</v>
      </c>
      <c r="AN12" s="12">
        <f t="shared" si="4"/>
        <v>0</v>
      </c>
      <c r="AO12" s="12">
        <f t="shared" si="4"/>
        <v>0</v>
      </c>
      <c r="AP12" s="12">
        <f t="shared" si="4"/>
        <v>0</v>
      </c>
      <c r="AQ12" s="12">
        <f t="shared" si="4"/>
        <v>0</v>
      </c>
      <c r="AR12" s="12">
        <f t="shared" si="4"/>
        <v>0</v>
      </c>
      <c r="AS12" s="12">
        <f t="shared" si="4"/>
        <v>0</v>
      </c>
      <c r="AT12" s="12">
        <f t="shared" si="4"/>
        <v>0</v>
      </c>
      <c r="AU12" s="12">
        <f t="shared" si="4"/>
        <v>0</v>
      </c>
      <c r="AV12" s="12">
        <f t="shared" si="4"/>
        <v>0</v>
      </c>
      <c r="AW12" s="12">
        <f t="shared" si="4"/>
        <v>0</v>
      </c>
      <c r="AX12" s="12">
        <f t="shared" si="4"/>
        <v>0</v>
      </c>
      <c r="AY12" s="12">
        <f t="shared" si="4"/>
        <v>0</v>
      </c>
      <c r="AZ12" s="12">
        <f t="shared" si="4"/>
        <v>0</v>
      </c>
      <c r="BA12" s="12">
        <f t="shared" si="4"/>
        <v>0</v>
      </c>
      <c r="BB12" s="12">
        <f t="shared" si="4"/>
        <v>0</v>
      </c>
      <c r="BC12" s="12">
        <f t="shared" si="4"/>
        <v>0</v>
      </c>
      <c r="BD12" s="12">
        <f t="shared" si="4"/>
        <v>0</v>
      </c>
      <c r="BE12" s="12">
        <f t="shared" si="4"/>
        <v>0</v>
      </c>
      <c r="BF12" s="12">
        <f t="shared" si="4"/>
        <v>0</v>
      </c>
      <c r="BG12" s="12">
        <f t="shared" si="4"/>
        <v>0</v>
      </c>
      <c r="BH12" s="12">
        <f t="shared" si="4"/>
        <v>0</v>
      </c>
      <c r="BI12" s="12">
        <f t="shared" si="4"/>
        <v>0</v>
      </c>
      <c r="BJ12" s="12">
        <f t="shared" si="4"/>
        <v>0</v>
      </c>
      <c r="BK12" s="12">
        <f t="shared" si="4"/>
        <v>0</v>
      </c>
      <c r="BL12" s="12">
        <f t="shared" si="4"/>
        <v>0</v>
      </c>
      <c r="BM12" s="12">
        <f t="shared" si="4"/>
        <v>0</v>
      </c>
      <c r="BN12" s="12">
        <f t="shared" si="4"/>
        <v>0</v>
      </c>
      <c r="BO12" s="12">
        <f t="shared" si="4"/>
        <v>0</v>
      </c>
      <c r="BP12" s="12">
        <f t="shared" si="4"/>
        <v>0</v>
      </c>
      <c r="BQ12" s="12">
        <f t="shared" si="4"/>
        <v>0</v>
      </c>
      <c r="BR12" s="12">
        <f t="shared" si="4"/>
        <v>0</v>
      </c>
      <c r="BS12" s="12">
        <f t="shared" si="4"/>
        <v>0</v>
      </c>
      <c r="BT12" s="12">
        <f t="shared" si="4"/>
        <v>0</v>
      </c>
      <c r="BU12" s="12">
        <f t="shared" si="4"/>
        <v>0</v>
      </c>
      <c r="BV12" s="12">
        <f t="shared" si="4"/>
        <v>0</v>
      </c>
      <c r="BW12" s="12">
        <f t="shared" si="4"/>
        <v>0</v>
      </c>
      <c r="BX12" s="12">
        <f t="shared" si="4"/>
        <v>0</v>
      </c>
      <c r="BY12" s="12">
        <f t="shared" si="4"/>
        <v>0</v>
      </c>
      <c r="BZ12" s="12">
        <f t="shared" si="4"/>
        <v>0</v>
      </c>
      <c r="CA12" s="12">
        <f t="shared" si="4"/>
        <v>0</v>
      </c>
      <c r="CB12" s="12">
        <f t="shared" si="4"/>
        <v>0</v>
      </c>
      <c r="CC12" s="12">
        <f t="shared" si="4"/>
        <v>0</v>
      </c>
      <c r="CD12" s="12">
        <f t="shared" si="4"/>
        <v>0</v>
      </c>
      <c r="CE12" s="12">
        <f t="shared" si="4"/>
        <v>0</v>
      </c>
      <c r="CF12" s="12">
        <f t="shared" si="4"/>
        <v>0</v>
      </c>
      <c r="CG12" s="12">
        <f t="shared" si="4"/>
        <v>0</v>
      </c>
      <c r="CH12" s="12">
        <f t="shared" si="4"/>
        <v>0</v>
      </c>
      <c r="CI12" s="12">
        <f t="shared" si="4"/>
        <v>0</v>
      </c>
      <c r="CJ12" s="12">
        <f t="shared" si="4"/>
        <v>0</v>
      </c>
      <c r="CK12" s="12">
        <f t="shared" si="4"/>
        <v>0</v>
      </c>
      <c r="CL12" s="12">
        <f t="shared" si="4"/>
        <v>0</v>
      </c>
      <c r="CM12" s="12">
        <f t="shared" si="4"/>
        <v>0</v>
      </c>
      <c r="CN12" s="12">
        <f t="shared" si="4"/>
        <v>0</v>
      </c>
      <c r="CO12" s="12">
        <f t="shared" si="4"/>
        <v>0</v>
      </c>
      <c r="CP12" s="12">
        <f t="shared" si="4"/>
        <v>0</v>
      </c>
      <c r="CQ12" s="12">
        <f t="shared" si="4"/>
        <v>0</v>
      </c>
      <c r="CR12" s="12">
        <f t="shared" si="4"/>
        <v>0</v>
      </c>
      <c r="CS12" s="12">
        <f t="shared" si="4"/>
        <v>0</v>
      </c>
      <c r="CT12" s="12">
        <f t="shared" si="4"/>
        <v>0</v>
      </c>
      <c r="CU12" s="12">
        <f t="shared" si="4"/>
        <v>0</v>
      </c>
      <c r="CV12" s="12">
        <f t="shared" si="4"/>
        <v>0</v>
      </c>
      <c r="CW12" s="12">
        <f t="shared" si="4"/>
        <v>0</v>
      </c>
      <c r="CX12" s="12">
        <f t="shared" si="4"/>
        <v>0</v>
      </c>
      <c r="CY12" s="12">
        <f t="shared" si="4"/>
        <v>0</v>
      </c>
      <c r="CZ12" s="12">
        <f t="shared" si="4"/>
        <v>0</v>
      </c>
      <c r="DA12" s="12">
        <f t="shared" si="4"/>
        <v>0</v>
      </c>
      <c r="DB12" s="12">
        <f t="shared" si="4"/>
        <v>0</v>
      </c>
      <c r="DC12" s="12">
        <f t="shared" si="4"/>
        <v>0</v>
      </c>
      <c r="DD12" s="12">
        <f t="shared" si="4"/>
        <v>0</v>
      </c>
      <c r="DE12" s="12">
        <f t="shared" si="4"/>
        <v>0</v>
      </c>
      <c r="DF12" s="12">
        <f t="shared" si="4"/>
        <v>0</v>
      </c>
      <c r="DG12" s="12">
        <f t="shared" si="4"/>
        <v>0</v>
      </c>
      <c r="DH12" s="12">
        <f t="shared" si="4"/>
        <v>0</v>
      </c>
      <c r="DI12" s="12">
        <f t="shared" si="4"/>
        <v>0</v>
      </c>
      <c r="DJ12" s="12">
        <f t="shared" si="4"/>
        <v>0</v>
      </c>
      <c r="DK12" s="12">
        <f t="shared" si="4"/>
        <v>0</v>
      </c>
      <c r="DL12" s="12">
        <f t="shared" si="4"/>
        <v>0</v>
      </c>
      <c r="DM12" s="12">
        <f t="shared" si="4"/>
        <v>0</v>
      </c>
      <c r="DN12" s="12">
        <f t="shared" si="4"/>
        <v>0</v>
      </c>
      <c r="DO12" s="12">
        <f t="shared" si="4"/>
        <v>0</v>
      </c>
      <c r="DP12" s="12">
        <f t="shared" si="4"/>
        <v>0</v>
      </c>
      <c r="DQ12" s="12">
        <f t="shared" si="4"/>
        <v>0</v>
      </c>
      <c r="DR12" s="12">
        <f t="shared" si="4"/>
        <v>0</v>
      </c>
      <c r="DS12" s="12">
        <f t="shared" si="4"/>
        <v>0</v>
      </c>
      <c r="DT12" s="12">
        <f t="shared" si="4"/>
        <v>0</v>
      </c>
      <c r="DU12" s="12">
        <f t="shared" si="4"/>
        <v>0</v>
      </c>
      <c r="DV12" s="12">
        <f t="shared" si="4"/>
        <v>0</v>
      </c>
      <c r="DW12" s="12">
        <f t="shared" si="4"/>
        <v>0</v>
      </c>
      <c r="DX12" s="12">
        <f t="shared" si="4"/>
        <v>0</v>
      </c>
      <c r="DY12" s="12">
        <f t="shared" si="4"/>
        <v>0</v>
      </c>
      <c r="DZ12" s="12">
        <f t="shared" si="4"/>
        <v>0</v>
      </c>
      <c r="EA12" s="12">
        <f t="shared" si="4"/>
        <v>0</v>
      </c>
      <c r="EB12" s="12">
        <f t="shared" si="4"/>
        <v>0</v>
      </c>
      <c r="EC12" s="12">
        <f t="shared" si="4"/>
        <v>0</v>
      </c>
      <c r="ED12" s="12">
        <f t="shared" si="4"/>
        <v>0</v>
      </c>
      <c r="EE12" s="12">
        <f t="shared" si="4"/>
        <v>0</v>
      </c>
      <c r="EF12" s="12">
        <f t="shared" si="4"/>
        <v>0</v>
      </c>
      <c r="EG12" s="12">
        <f t="shared" si="4"/>
        <v>0</v>
      </c>
      <c r="EH12" s="12">
        <f t="shared" si="4"/>
        <v>0</v>
      </c>
      <c r="EI12" s="12">
        <f t="shared" si="4"/>
        <v>0</v>
      </c>
      <c r="EJ12" s="12">
        <f t="shared" si="4"/>
        <v>0</v>
      </c>
      <c r="EK12" s="12">
        <f t="shared" si="4"/>
        <v>0</v>
      </c>
      <c r="EL12" s="12">
        <f t="shared" si="4"/>
        <v>0</v>
      </c>
      <c r="EM12" s="12">
        <f t="shared" si="4"/>
        <v>0</v>
      </c>
      <c r="EN12" s="12">
        <f t="shared" si="4"/>
        <v>0</v>
      </c>
      <c r="EO12" s="12">
        <f t="shared" si="4"/>
        <v>0</v>
      </c>
      <c r="EP12" s="12">
        <f t="shared" si="4"/>
        <v>0</v>
      </c>
      <c r="EQ12" s="12">
        <f t="shared" si="4"/>
        <v>0</v>
      </c>
      <c r="ER12" s="12">
        <f t="shared" si="4"/>
        <v>0</v>
      </c>
      <c r="ES12" s="12">
        <f t="shared" si="4"/>
        <v>0</v>
      </c>
      <c r="ET12" s="12">
        <f t="shared" si="4"/>
        <v>0</v>
      </c>
      <c r="EU12" s="12">
        <f t="shared" si="4"/>
        <v>0</v>
      </c>
      <c r="EV12" s="12">
        <f t="shared" si="4"/>
        <v>0</v>
      </c>
      <c r="EW12" s="12">
        <f t="shared" si="4"/>
        <v>0</v>
      </c>
      <c r="EX12" s="12">
        <f t="shared" si="4"/>
        <v>0</v>
      </c>
      <c r="EY12" s="12">
        <f t="shared" si="4"/>
        <v>0</v>
      </c>
      <c r="EZ12" s="12">
        <f t="shared" si="4"/>
        <v>0</v>
      </c>
      <c r="FA12" s="12">
        <f t="shared" si="4"/>
        <v>0</v>
      </c>
      <c r="FB12" s="12">
        <f t="shared" si="4"/>
        <v>0</v>
      </c>
      <c r="FC12" s="12">
        <f t="shared" si="4"/>
        <v>0</v>
      </c>
      <c r="FD12" s="12">
        <f t="shared" si="4"/>
        <v>0</v>
      </c>
      <c r="FE12" s="12">
        <f t="shared" si="4"/>
        <v>0</v>
      </c>
      <c r="FF12" s="12">
        <f t="shared" si="4"/>
        <v>0</v>
      </c>
      <c r="FG12" s="12">
        <f t="shared" si="4"/>
        <v>0</v>
      </c>
      <c r="FH12" s="12">
        <f t="shared" si="4"/>
        <v>0</v>
      </c>
      <c r="FI12" s="12">
        <f t="shared" si="4"/>
        <v>0</v>
      </c>
      <c r="FJ12" s="12">
        <f t="shared" si="4"/>
        <v>0</v>
      </c>
      <c r="FK12" s="12">
        <f t="shared" si="4"/>
        <v>0</v>
      </c>
      <c r="FL12" s="12">
        <f t="shared" si="4"/>
        <v>0</v>
      </c>
      <c r="FM12" s="12">
        <f t="shared" si="4"/>
        <v>0</v>
      </c>
      <c r="FN12" s="12">
        <f t="shared" si="4"/>
        <v>0</v>
      </c>
      <c r="FO12" s="12">
        <f t="shared" si="4"/>
        <v>0</v>
      </c>
      <c r="FP12" s="12">
        <f t="shared" si="4"/>
        <v>0</v>
      </c>
      <c r="FQ12" s="12">
        <f t="shared" si="4"/>
        <v>0</v>
      </c>
      <c r="FR12" s="12">
        <f t="shared" si="4"/>
        <v>0</v>
      </c>
      <c r="FS12" s="12">
        <f t="shared" si="4"/>
        <v>0</v>
      </c>
      <c r="FT12" s="12">
        <f t="shared" si="4"/>
        <v>0</v>
      </c>
      <c r="FU12" s="12">
        <f t="shared" si="4"/>
        <v>0</v>
      </c>
      <c r="FV12" s="12">
        <f t="shared" si="4"/>
        <v>0</v>
      </c>
      <c r="FW12" s="12">
        <f t="shared" si="4"/>
        <v>0</v>
      </c>
      <c r="FX12" s="12">
        <f t="shared" si="4"/>
        <v>0</v>
      </c>
      <c r="FY12" s="12">
        <f t="shared" si="4"/>
        <v>0</v>
      </c>
      <c r="FZ12" s="12">
        <f t="shared" si="4"/>
        <v>0</v>
      </c>
      <c r="GA12" s="12">
        <f t="shared" si="4"/>
        <v>0</v>
      </c>
      <c r="GB12" s="12">
        <f t="shared" si="4"/>
        <v>0</v>
      </c>
      <c r="GC12" s="12">
        <f t="shared" si="4"/>
        <v>0</v>
      </c>
      <c r="GD12" s="12">
        <f t="shared" si="4"/>
        <v>0</v>
      </c>
      <c r="GE12" s="12">
        <f t="shared" si="4"/>
        <v>0</v>
      </c>
      <c r="GF12" s="12">
        <f t="shared" si="4"/>
        <v>0</v>
      </c>
      <c r="GG12" s="12">
        <f t="shared" si="4"/>
        <v>0</v>
      </c>
      <c r="GH12" s="12">
        <f t="shared" si="4"/>
        <v>0</v>
      </c>
      <c r="GI12" s="12">
        <f t="shared" si="4"/>
        <v>0</v>
      </c>
      <c r="GJ12" s="12">
        <f t="shared" si="4"/>
        <v>0</v>
      </c>
      <c r="GK12" s="12">
        <f t="shared" si="4"/>
        <v>0</v>
      </c>
      <c r="GL12" s="12">
        <f t="shared" si="4"/>
        <v>0</v>
      </c>
      <c r="GM12" s="12">
        <f t="shared" si="4"/>
        <v>0</v>
      </c>
      <c r="GN12" s="12">
        <f t="shared" si="4"/>
        <v>0</v>
      </c>
      <c r="GO12" s="12">
        <f t="shared" si="4"/>
        <v>0</v>
      </c>
      <c r="GP12" s="12">
        <f t="shared" si="4"/>
        <v>0</v>
      </c>
      <c r="GQ12" s="12">
        <f t="shared" si="4"/>
        <v>0</v>
      </c>
      <c r="GR12" s="12">
        <f t="shared" si="4"/>
        <v>0</v>
      </c>
      <c r="GS12" s="12">
        <f t="shared" si="4"/>
        <v>0</v>
      </c>
      <c r="GT12" s="12">
        <f t="shared" si="4"/>
        <v>0</v>
      </c>
      <c r="GU12" s="12">
        <f t="shared" si="4"/>
        <v>0</v>
      </c>
    </row>
    <row r="13" ht="12.0" customHeight="1">
      <c r="B13" s="2" t="s">
        <v>16</v>
      </c>
      <c r="C13" s="2"/>
      <c r="D13" s="4">
        <f t="shared" ref="D13:GU13" si="5">SUM(D11:D12)</f>
        <v>9025</v>
      </c>
      <c r="E13" s="4">
        <f t="shared" si="5"/>
        <v>9205.5</v>
      </c>
      <c r="F13" s="4">
        <f t="shared" si="5"/>
        <v>9389.61</v>
      </c>
      <c r="G13" s="4">
        <f t="shared" si="5"/>
        <v>9577.4022</v>
      </c>
      <c r="H13" s="4">
        <f t="shared" si="5"/>
        <v>9768.950244</v>
      </c>
      <c r="I13" s="4">
        <f t="shared" si="5"/>
        <v>9964.329249</v>
      </c>
      <c r="J13" s="4">
        <f t="shared" si="5"/>
        <v>10163.61583</v>
      </c>
      <c r="K13" s="4">
        <f t="shared" si="5"/>
        <v>10366.88815</v>
      </c>
      <c r="L13" s="4">
        <f t="shared" si="5"/>
        <v>10574.22591</v>
      </c>
      <c r="M13" s="4">
        <f t="shared" si="5"/>
        <v>10785.71043</v>
      </c>
      <c r="N13" s="4">
        <f t="shared" si="5"/>
        <v>11001.42464</v>
      </c>
      <c r="O13" s="4">
        <f t="shared" si="5"/>
        <v>11221.45313</v>
      </c>
      <c r="P13" s="4">
        <f t="shared" si="5"/>
        <v>11445.8822</v>
      </c>
      <c r="Q13" s="4">
        <f t="shared" si="5"/>
        <v>11674.79984</v>
      </c>
      <c r="R13" s="4">
        <f t="shared" si="5"/>
        <v>11908.29584</v>
      </c>
      <c r="S13" s="4">
        <f t="shared" si="5"/>
        <v>12146.46175</v>
      </c>
      <c r="T13" s="4">
        <f t="shared" si="5"/>
        <v>12389.39099</v>
      </c>
      <c r="U13" s="4">
        <f t="shared" si="5"/>
        <v>12637.17881</v>
      </c>
      <c r="V13" s="4">
        <f t="shared" si="5"/>
        <v>12889.92238</v>
      </c>
      <c r="W13" s="4">
        <f t="shared" si="5"/>
        <v>13147.72083</v>
      </c>
      <c r="X13" s="4">
        <f t="shared" si="5"/>
        <v>13410.67525</v>
      </c>
      <c r="Y13" s="4">
        <f t="shared" si="5"/>
        <v>13678.88875</v>
      </c>
      <c r="Z13" s="4">
        <f t="shared" si="5"/>
        <v>13952.46653</v>
      </c>
      <c r="AA13" s="4">
        <f t="shared" si="5"/>
        <v>14231.51586</v>
      </c>
      <c r="AB13" s="4">
        <f t="shared" si="5"/>
        <v>14516.14618</v>
      </c>
      <c r="AC13" s="4">
        <f t="shared" si="5"/>
        <v>14806.4691</v>
      </c>
      <c r="AD13" s="4">
        <f t="shared" si="5"/>
        <v>15102.59848</v>
      </c>
      <c r="AE13" s="4">
        <f t="shared" si="5"/>
        <v>15404.65045</v>
      </c>
      <c r="AF13" s="4">
        <f t="shared" si="5"/>
        <v>15712.74346</v>
      </c>
      <c r="AG13" s="4">
        <f t="shared" si="5"/>
        <v>16026.99833</v>
      </c>
      <c r="AH13" s="4">
        <f t="shared" si="5"/>
        <v>16347.5383</v>
      </c>
      <c r="AI13" s="4">
        <f t="shared" si="5"/>
        <v>16674.48906</v>
      </c>
      <c r="AJ13" s="4">
        <f t="shared" si="5"/>
        <v>17007.97884</v>
      </c>
      <c r="AK13" s="4">
        <f t="shared" si="5"/>
        <v>17348.13842</v>
      </c>
      <c r="AL13" s="4">
        <f t="shared" si="5"/>
        <v>17695.10119</v>
      </c>
      <c r="AM13" s="4">
        <f t="shared" si="5"/>
        <v>18049.00321</v>
      </c>
      <c r="AN13" s="4">
        <f t="shared" si="5"/>
        <v>18409.98328</v>
      </c>
      <c r="AO13" s="4">
        <f t="shared" si="5"/>
        <v>18778.18294</v>
      </c>
      <c r="AP13" s="4">
        <f t="shared" si="5"/>
        <v>19153.7466</v>
      </c>
      <c r="AQ13" s="4">
        <f t="shared" si="5"/>
        <v>19536.82153</v>
      </c>
      <c r="AR13" s="4">
        <f t="shared" si="5"/>
        <v>19927.55796</v>
      </c>
      <c r="AS13" s="4">
        <f t="shared" si="5"/>
        <v>20326.10912</v>
      </c>
      <c r="AT13" s="4">
        <f t="shared" si="5"/>
        <v>20732.63131</v>
      </c>
      <c r="AU13" s="4">
        <f t="shared" si="5"/>
        <v>21147.28393</v>
      </c>
      <c r="AV13" s="4">
        <f t="shared" si="5"/>
        <v>21570.22961</v>
      </c>
      <c r="AW13" s="4">
        <f t="shared" si="5"/>
        <v>22001.6342</v>
      </c>
      <c r="AX13" s="4">
        <f t="shared" si="5"/>
        <v>22441.66689</v>
      </c>
      <c r="AY13" s="4">
        <f t="shared" si="5"/>
        <v>22890.50022</v>
      </c>
      <c r="AZ13" s="4">
        <f t="shared" si="5"/>
        <v>23348.31023</v>
      </c>
      <c r="BA13" s="4">
        <f t="shared" si="5"/>
        <v>23815.27643</v>
      </c>
      <c r="BB13" s="4">
        <f t="shared" si="5"/>
        <v>24291.58196</v>
      </c>
      <c r="BC13" s="4">
        <f t="shared" si="5"/>
        <v>24777.4136</v>
      </c>
      <c r="BD13" s="4">
        <f t="shared" si="5"/>
        <v>25272.96187</v>
      </c>
      <c r="BE13" s="4">
        <f t="shared" si="5"/>
        <v>25778.42111</v>
      </c>
      <c r="BF13" s="4">
        <f t="shared" si="5"/>
        <v>26293.98953</v>
      </c>
      <c r="BG13" s="4">
        <f t="shared" si="5"/>
        <v>26819.86932</v>
      </c>
      <c r="BH13" s="4">
        <f t="shared" si="5"/>
        <v>27356.26671</v>
      </c>
      <c r="BI13" s="4">
        <f t="shared" si="5"/>
        <v>27903.39204</v>
      </c>
      <c r="BJ13" s="4">
        <f t="shared" si="5"/>
        <v>28461.45989</v>
      </c>
      <c r="BK13" s="4">
        <f t="shared" si="5"/>
        <v>29030.68908</v>
      </c>
      <c r="BL13" s="4">
        <f t="shared" si="5"/>
        <v>29611.30286</v>
      </c>
      <c r="BM13" s="4">
        <f t="shared" si="5"/>
        <v>30203.52892</v>
      </c>
      <c r="BN13" s="4">
        <f t="shared" si="5"/>
        <v>30807.5995</v>
      </c>
      <c r="BO13" s="4">
        <f t="shared" si="5"/>
        <v>31423.75149</v>
      </c>
      <c r="BP13" s="4">
        <f t="shared" si="5"/>
        <v>32052.22652</v>
      </c>
      <c r="BQ13" s="4">
        <f t="shared" si="5"/>
        <v>32693.27105</v>
      </c>
      <c r="BR13" s="4">
        <f t="shared" si="5"/>
        <v>33347.13647</v>
      </c>
      <c r="BS13" s="4">
        <f t="shared" si="5"/>
        <v>34014.0792</v>
      </c>
      <c r="BT13" s="4">
        <f t="shared" si="5"/>
        <v>34694.36079</v>
      </c>
      <c r="BU13" s="4">
        <f t="shared" si="5"/>
        <v>35388.248</v>
      </c>
      <c r="BV13" s="4">
        <f t="shared" si="5"/>
        <v>36096.01296</v>
      </c>
      <c r="BW13" s="4">
        <f t="shared" si="5"/>
        <v>36817.93322</v>
      </c>
      <c r="BX13" s="4">
        <f t="shared" si="5"/>
        <v>37554.29188</v>
      </c>
      <c r="BY13" s="4">
        <f t="shared" si="5"/>
        <v>38305.37772</v>
      </c>
      <c r="BZ13" s="4">
        <f t="shared" si="5"/>
        <v>39071.48528</v>
      </c>
      <c r="CA13" s="4">
        <f t="shared" si="5"/>
        <v>39852.91498</v>
      </c>
      <c r="CB13" s="4">
        <f t="shared" si="5"/>
        <v>40649.97328</v>
      </c>
      <c r="CC13" s="4">
        <f t="shared" si="5"/>
        <v>41462.97275</v>
      </c>
      <c r="CD13" s="4">
        <f t="shared" si="5"/>
        <v>42292.2322</v>
      </c>
      <c r="CE13" s="4">
        <f t="shared" si="5"/>
        <v>43138.07685</v>
      </c>
      <c r="CF13" s="4">
        <f t="shared" si="5"/>
        <v>44000.83838</v>
      </c>
      <c r="CG13" s="4">
        <f t="shared" si="5"/>
        <v>44880.85515</v>
      </c>
      <c r="CH13" s="4">
        <f t="shared" si="5"/>
        <v>45778.47225</v>
      </c>
      <c r="CI13" s="4">
        <f t="shared" si="5"/>
        <v>46694.0417</v>
      </c>
      <c r="CJ13" s="4">
        <f t="shared" si="5"/>
        <v>47627.92253</v>
      </c>
      <c r="CK13" s="4">
        <f t="shared" si="5"/>
        <v>48580.48098</v>
      </c>
      <c r="CL13" s="4">
        <f t="shared" si="5"/>
        <v>49552.0906</v>
      </c>
      <c r="CM13" s="4">
        <f t="shared" si="5"/>
        <v>50543.13242</v>
      </c>
      <c r="CN13" s="4">
        <f t="shared" si="5"/>
        <v>51553.99506</v>
      </c>
      <c r="CO13" s="4">
        <f t="shared" si="5"/>
        <v>52585.07497</v>
      </c>
      <c r="CP13" s="4">
        <f t="shared" si="5"/>
        <v>53636.77646</v>
      </c>
      <c r="CQ13" s="4">
        <f t="shared" si="5"/>
        <v>54709.51199</v>
      </c>
      <c r="CR13" s="4">
        <f t="shared" si="5"/>
        <v>55803.70223</v>
      </c>
      <c r="CS13" s="4">
        <f t="shared" si="5"/>
        <v>56919.77628</v>
      </c>
      <c r="CT13" s="4">
        <f t="shared" si="5"/>
        <v>58058.1718</v>
      </c>
      <c r="CU13" s="4">
        <f t="shared" si="5"/>
        <v>59219.33524</v>
      </c>
      <c r="CV13" s="4">
        <f t="shared" si="5"/>
        <v>60403.72195</v>
      </c>
      <c r="CW13" s="4">
        <f t="shared" si="5"/>
        <v>61611.79638</v>
      </c>
      <c r="CX13" s="4">
        <f t="shared" si="5"/>
        <v>62844.03231</v>
      </c>
      <c r="CY13" s="4">
        <f t="shared" si="5"/>
        <v>64100.91296</v>
      </c>
      <c r="CZ13" s="4">
        <f t="shared" si="5"/>
        <v>65382.93122</v>
      </c>
      <c r="DA13" s="4">
        <f t="shared" si="5"/>
        <v>66690.58984</v>
      </c>
      <c r="DB13" s="4">
        <f t="shared" si="5"/>
        <v>68024.40164</v>
      </c>
      <c r="DC13" s="4">
        <f t="shared" si="5"/>
        <v>69384.88967</v>
      </c>
      <c r="DD13" s="4">
        <f t="shared" si="5"/>
        <v>70772.58746</v>
      </c>
      <c r="DE13" s="4">
        <f t="shared" si="5"/>
        <v>72188.03921</v>
      </c>
      <c r="DF13" s="4">
        <f t="shared" si="5"/>
        <v>73631.8</v>
      </c>
      <c r="DG13" s="4">
        <f t="shared" si="5"/>
        <v>75104.436</v>
      </c>
      <c r="DH13" s="4">
        <f t="shared" si="5"/>
        <v>76606.52472</v>
      </c>
      <c r="DI13" s="4">
        <f t="shared" si="5"/>
        <v>78138.65521</v>
      </c>
      <c r="DJ13" s="4">
        <f t="shared" si="5"/>
        <v>79701.42832</v>
      </c>
      <c r="DK13" s="4">
        <f t="shared" si="5"/>
        <v>81295.45688</v>
      </c>
      <c r="DL13" s="4">
        <f t="shared" si="5"/>
        <v>82921.36602</v>
      </c>
      <c r="DM13" s="4">
        <f t="shared" si="5"/>
        <v>84579.79334</v>
      </c>
      <c r="DN13" s="4">
        <f t="shared" si="5"/>
        <v>86271.38921</v>
      </c>
      <c r="DO13" s="4">
        <f t="shared" si="5"/>
        <v>87996.81699</v>
      </c>
      <c r="DP13" s="4">
        <f t="shared" si="5"/>
        <v>89756.75333</v>
      </c>
      <c r="DQ13" s="4">
        <f t="shared" si="5"/>
        <v>91551.8884</v>
      </c>
      <c r="DR13" s="4">
        <f t="shared" si="5"/>
        <v>93382.92617</v>
      </c>
      <c r="DS13" s="4">
        <f t="shared" si="5"/>
        <v>95250.58469</v>
      </c>
      <c r="DT13" s="4">
        <f t="shared" si="5"/>
        <v>97155.59638</v>
      </c>
      <c r="DU13" s="4">
        <f t="shared" si="5"/>
        <v>99098.70831</v>
      </c>
      <c r="DV13" s="4">
        <f t="shared" si="5"/>
        <v>101080.6825</v>
      </c>
      <c r="DW13" s="4">
        <f t="shared" si="5"/>
        <v>103102.2961</v>
      </c>
      <c r="DX13" s="4">
        <f t="shared" si="5"/>
        <v>105164.342</v>
      </c>
      <c r="DY13" s="4">
        <f t="shared" si="5"/>
        <v>107267.6289</v>
      </c>
      <c r="DZ13" s="4">
        <f t="shared" si="5"/>
        <v>109412.9815</v>
      </c>
      <c r="EA13" s="4">
        <f t="shared" si="5"/>
        <v>111601.2411</v>
      </c>
      <c r="EB13" s="4">
        <f t="shared" si="5"/>
        <v>113833.2659</v>
      </c>
      <c r="EC13" s="4">
        <f t="shared" si="5"/>
        <v>116109.9312</v>
      </c>
      <c r="ED13" s="4">
        <f t="shared" si="5"/>
        <v>118432.1299</v>
      </c>
      <c r="EE13" s="4">
        <f t="shared" si="5"/>
        <v>120800.7725</v>
      </c>
      <c r="EF13" s="4">
        <f t="shared" si="5"/>
        <v>123216.7879</v>
      </c>
      <c r="EG13" s="4">
        <f t="shared" si="5"/>
        <v>125681.1237</v>
      </c>
      <c r="EH13" s="4">
        <f t="shared" si="5"/>
        <v>128194.7461</v>
      </c>
      <c r="EI13" s="4">
        <f t="shared" si="5"/>
        <v>130758.6411</v>
      </c>
      <c r="EJ13" s="4">
        <f t="shared" si="5"/>
        <v>133373.8139</v>
      </c>
      <c r="EK13" s="4">
        <f t="shared" si="5"/>
        <v>136041.2902</v>
      </c>
      <c r="EL13" s="4">
        <f t="shared" si="5"/>
        <v>138762.116</v>
      </c>
      <c r="EM13" s="4">
        <f t="shared" si="5"/>
        <v>141537.3583</v>
      </c>
      <c r="EN13" s="4">
        <f t="shared" si="5"/>
        <v>144368.1055</v>
      </c>
      <c r="EO13" s="4">
        <f t="shared" si="5"/>
        <v>147255.4676</v>
      </c>
      <c r="EP13" s="4">
        <f t="shared" si="5"/>
        <v>150200.5769</v>
      </c>
      <c r="EQ13" s="4">
        <f t="shared" si="5"/>
        <v>153204.5884</v>
      </c>
      <c r="ER13" s="4">
        <f t="shared" si="5"/>
        <v>156268.6802</v>
      </c>
      <c r="ES13" s="4">
        <f t="shared" si="5"/>
        <v>159394.0538</v>
      </c>
      <c r="ET13" s="4">
        <f t="shared" si="5"/>
        <v>162581.9349</v>
      </c>
      <c r="EU13" s="4">
        <f t="shared" si="5"/>
        <v>165833.5736</v>
      </c>
      <c r="EV13" s="4">
        <f t="shared" si="5"/>
        <v>169150.2451</v>
      </c>
      <c r="EW13" s="4">
        <f t="shared" si="5"/>
        <v>172533.25</v>
      </c>
      <c r="EX13" s="4">
        <f t="shared" si="5"/>
        <v>175983.915</v>
      </c>
      <c r="EY13" s="4">
        <f t="shared" si="5"/>
        <v>179503.5933</v>
      </c>
      <c r="EZ13" s="4">
        <f t="shared" si="5"/>
        <v>183093.6651</v>
      </c>
      <c r="FA13" s="4">
        <f t="shared" si="5"/>
        <v>186755.5384</v>
      </c>
      <c r="FB13" s="4">
        <f t="shared" si="5"/>
        <v>190490.6492</v>
      </c>
      <c r="FC13" s="4">
        <f t="shared" si="5"/>
        <v>194300.4622</v>
      </c>
      <c r="FD13" s="4">
        <f t="shared" si="5"/>
        <v>198186.4714</v>
      </c>
      <c r="FE13" s="4">
        <f t="shared" si="5"/>
        <v>202150.2009</v>
      </c>
      <c r="FF13" s="4">
        <f t="shared" si="5"/>
        <v>206193.2049</v>
      </c>
      <c r="FG13" s="4">
        <f t="shared" si="5"/>
        <v>210317.069</v>
      </c>
      <c r="FH13" s="4">
        <f t="shared" si="5"/>
        <v>214523.4104</v>
      </c>
      <c r="FI13" s="4">
        <f t="shared" si="5"/>
        <v>218813.8786</v>
      </c>
      <c r="FJ13" s="4">
        <f t="shared" si="5"/>
        <v>223190.1561</v>
      </c>
      <c r="FK13" s="4">
        <f t="shared" si="5"/>
        <v>227653.9593</v>
      </c>
      <c r="FL13" s="4">
        <f t="shared" si="5"/>
        <v>232207.0384</v>
      </c>
      <c r="FM13" s="4">
        <f t="shared" si="5"/>
        <v>236851.1792</v>
      </c>
      <c r="FN13" s="4">
        <f t="shared" si="5"/>
        <v>241588.2028</v>
      </c>
      <c r="FO13" s="4">
        <f t="shared" si="5"/>
        <v>246419.9669</v>
      </c>
      <c r="FP13" s="4">
        <f t="shared" si="5"/>
        <v>251348.3662</v>
      </c>
      <c r="FQ13" s="4">
        <f t="shared" si="5"/>
        <v>256375.3335</v>
      </c>
      <c r="FR13" s="4">
        <f t="shared" si="5"/>
        <v>261502.8402</v>
      </c>
      <c r="FS13" s="4">
        <f t="shared" si="5"/>
        <v>266732.897</v>
      </c>
      <c r="FT13" s="4">
        <f t="shared" si="5"/>
        <v>272067.5549</v>
      </c>
      <c r="FU13" s="4">
        <f t="shared" si="5"/>
        <v>277508.906</v>
      </c>
      <c r="FV13" s="4">
        <f t="shared" si="5"/>
        <v>283059.0841</v>
      </c>
      <c r="FW13" s="4">
        <f t="shared" si="5"/>
        <v>288720.2658</v>
      </c>
      <c r="FX13" s="4">
        <f t="shared" si="5"/>
        <v>294494.6711</v>
      </c>
      <c r="FY13" s="4">
        <f t="shared" si="5"/>
        <v>300384.5646</v>
      </c>
      <c r="FZ13" s="4">
        <f t="shared" si="5"/>
        <v>306392.2559</v>
      </c>
      <c r="GA13" s="4">
        <f t="shared" si="5"/>
        <v>312520.101</v>
      </c>
      <c r="GB13" s="4">
        <f t="shared" si="5"/>
        <v>318770.503</v>
      </c>
      <c r="GC13" s="4">
        <f t="shared" si="5"/>
        <v>325145.9131</v>
      </c>
      <c r="GD13" s="4">
        <f t="shared" si="5"/>
        <v>331648.8313</v>
      </c>
      <c r="GE13" s="4">
        <f t="shared" si="5"/>
        <v>338281.8079</v>
      </c>
      <c r="GF13" s="4">
        <f t="shared" si="5"/>
        <v>345047.4441</v>
      </c>
      <c r="GG13" s="4">
        <f t="shared" si="5"/>
        <v>351948.393</v>
      </c>
      <c r="GH13" s="4">
        <f t="shared" si="5"/>
        <v>358987.3608</v>
      </c>
      <c r="GI13" s="4">
        <f t="shared" si="5"/>
        <v>366167.1081</v>
      </c>
      <c r="GJ13" s="4">
        <f t="shared" si="5"/>
        <v>373490.4502</v>
      </c>
      <c r="GK13" s="4">
        <f t="shared" si="5"/>
        <v>380960.2592</v>
      </c>
      <c r="GL13" s="4">
        <f t="shared" si="5"/>
        <v>388579.4644</v>
      </c>
      <c r="GM13" s="4">
        <f t="shared" si="5"/>
        <v>396351.0537</v>
      </c>
      <c r="GN13" s="4">
        <f t="shared" si="5"/>
        <v>404278.0748</v>
      </c>
      <c r="GO13" s="4">
        <f t="shared" si="5"/>
        <v>412363.6363</v>
      </c>
      <c r="GP13" s="4">
        <f t="shared" si="5"/>
        <v>420610.909</v>
      </c>
      <c r="GQ13" s="4">
        <f t="shared" si="5"/>
        <v>429023.1272</v>
      </c>
      <c r="GR13" s="4">
        <f t="shared" si="5"/>
        <v>437603.5897</v>
      </c>
      <c r="GS13" s="4">
        <f t="shared" si="5"/>
        <v>446355.6615</v>
      </c>
      <c r="GT13" s="4">
        <f t="shared" si="5"/>
        <v>455282.7747</v>
      </c>
      <c r="GU13" s="4">
        <f t="shared" si="5"/>
        <v>464388.4302</v>
      </c>
    </row>
    <row r="14" ht="12.0" customHeight="1" outlineLevel="1">
      <c r="B14" s="11" t="s">
        <v>17</v>
      </c>
      <c r="C14" s="2"/>
      <c r="D14" s="12">
        <f t="shared" ref="D14:GU14" si="6">-D13*$E$5</f>
        <v>0</v>
      </c>
      <c r="E14" s="12">
        <f t="shared" si="6"/>
        <v>0</v>
      </c>
      <c r="F14" s="12">
        <f t="shared" si="6"/>
        <v>0</v>
      </c>
      <c r="G14" s="12">
        <f t="shared" si="6"/>
        <v>0</v>
      </c>
      <c r="H14" s="12">
        <f t="shared" si="6"/>
        <v>0</v>
      </c>
      <c r="I14" s="12">
        <f t="shared" si="6"/>
        <v>0</v>
      </c>
      <c r="J14" s="12">
        <f t="shared" si="6"/>
        <v>0</v>
      </c>
      <c r="K14" s="12">
        <f t="shared" si="6"/>
        <v>0</v>
      </c>
      <c r="L14" s="12">
        <f t="shared" si="6"/>
        <v>0</v>
      </c>
      <c r="M14" s="12">
        <f t="shared" si="6"/>
        <v>0</v>
      </c>
      <c r="N14" s="12">
        <f t="shared" si="6"/>
        <v>0</v>
      </c>
      <c r="O14" s="12">
        <f t="shared" si="6"/>
        <v>0</v>
      </c>
      <c r="P14" s="12">
        <f t="shared" si="6"/>
        <v>0</v>
      </c>
      <c r="Q14" s="12">
        <f t="shared" si="6"/>
        <v>0</v>
      </c>
      <c r="R14" s="12">
        <f t="shared" si="6"/>
        <v>0</v>
      </c>
      <c r="S14" s="12">
        <f t="shared" si="6"/>
        <v>0</v>
      </c>
      <c r="T14" s="12">
        <f t="shared" si="6"/>
        <v>0</v>
      </c>
      <c r="U14" s="12">
        <f t="shared" si="6"/>
        <v>0</v>
      </c>
      <c r="V14" s="12">
        <f t="shared" si="6"/>
        <v>0</v>
      </c>
      <c r="W14" s="12">
        <f t="shared" si="6"/>
        <v>0</v>
      </c>
      <c r="X14" s="12">
        <f t="shared" si="6"/>
        <v>0</v>
      </c>
      <c r="Y14" s="12">
        <f t="shared" si="6"/>
        <v>0</v>
      </c>
      <c r="Z14" s="12">
        <f t="shared" si="6"/>
        <v>0</v>
      </c>
      <c r="AA14" s="12">
        <f t="shared" si="6"/>
        <v>0</v>
      </c>
      <c r="AB14" s="12">
        <f t="shared" si="6"/>
        <v>0</v>
      </c>
      <c r="AC14" s="12">
        <f t="shared" si="6"/>
        <v>0</v>
      </c>
      <c r="AD14" s="12">
        <f t="shared" si="6"/>
        <v>0</v>
      </c>
      <c r="AE14" s="12">
        <f t="shared" si="6"/>
        <v>0</v>
      </c>
      <c r="AF14" s="12">
        <f t="shared" si="6"/>
        <v>0</v>
      </c>
      <c r="AG14" s="12">
        <f t="shared" si="6"/>
        <v>0</v>
      </c>
      <c r="AH14" s="12">
        <f t="shared" si="6"/>
        <v>0</v>
      </c>
      <c r="AI14" s="12">
        <f t="shared" si="6"/>
        <v>0</v>
      </c>
      <c r="AJ14" s="12">
        <f t="shared" si="6"/>
        <v>0</v>
      </c>
      <c r="AK14" s="12">
        <f t="shared" si="6"/>
        <v>0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0</v>
      </c>
      <c r="AQ14" s="12">
        <f t="shared" si="6"/>
        <v>0</v>
      </c>
      <c r="AR14" s="12">
        <f t="shared" si="6"/>
        <v>0</v>
      </c>
      <c r="AS14" s="12">
        <f t="shared" si="6"/>
        <v>0</v>
      </c>
      <c r="AT14" s="12">
        <f t="shared" si="6"/>
        <v>0</v>
      </c>
      <c r="AU14" s="12">
        <f t="shared" si="6"/>
        <v>0</v>
      </c>
      <c r="AV14" s="12">
        <f t="shared" si="6"/>
        <v>0</v>
      </c>
      <c r="AW14" s="12">
        <f t="shared" si="6"/>
        <v>0</v>
      </c>
      <c r="AX14" s="12">
        <f t="shared" si="6"/>
        <v>0</v>
      </c>
      <c r="AY14" s="12">
        <f t="shared" si="6"/>
        <v>0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0</v>
      </c>
      <c r="BD14" s="12">
        <f t="shared" si="6"/>
        <v>0</v>
      </c>
      <c r="BE14" s="12">
        <f t="shared" si="6"/>
        <v>0</v>
      </c>
      <c r="BF14" s="12">
        <f t="shared" si="6"/>
        <v>0</v>
      </c>
      <c r="BG14" s="12">
        <f t="shared" si="6"/>
        <v>0</v>
      </c>
      <c r="BH14" s="12">
        <f t="shared" si="6"/>
        <v>0</v>
      </c>
      <c r="BI14" s="12">
        <f t="shared" si="6"/>
        <v>0</v>
      </c>
      <c r="BJ14" s="12">
        <f t="shared" si="6"/>
        <v>0</v>
      </c>
      <c r="BK14" s="12">
        <f t="shared" si="6"/>
        <v>0</v>
      </c>
      <c r="BL14" s="12">
        <f t="shared" si="6"/>
        <v>0</v>
      </c>
      <c r="BM14" s="12">
        <f t="shared" si="6"/>
        <v>0</v>
      </c>
      <c r="BN14" s="12">
        <f t="shared" si="6"/>
        <v>0</v>
      </c>
      <c r="BO14" s="12">
        <f t="shared" si="6"/>
        <v>0</v>
      </c>
      <c r="BP14" s="12">
        <f t="shared" si="6"/>
        <v>0</v>
      </c>
      <c r="BQ14" s="12">
        <f t="shared" si="6"/>
        <v>0</v>
      </c>
      <c r="BR14" s="12">
        <f t="shared" si="6"/>
        <v>0</v>
      </c>
      <c r="BS14" s="12">
        <f t="shared" si="6"/>
        <v>0</v>
      </c>
      <c r="BT14" s="12">
        <f t="shared" si="6"/>
        <v>0</v>
      </c>
      <c r="BU14" s="12">
        <f t="shared" si="6"/>
        <v>0</v>
      </c>
      <c r="BV14" s="12">
        <f t="shared" si="6"/>
        <v>0</v>
      </c>
      <c r="BW14" s="12">
        <f t="shared" si="6"/>
        <v>0</v>
      </c>
      <c r="BX14" s="12">
        <f t="shared" si="6"/>
        <v>0</v>
      </c>
      <c r="BY14" s="12">
        <f t="shared" si="6"/>
        <v>0</v>
      </c>
      <c r="BZ14" s="12">
        <f t="shared" si="6"/>
        <v>0</v>
      </c>
      <c r="CA14" s="12">
        <f t="shared" si="6"/>
        <v>0</v>
      </c>
      <c r="CB14" s="12">
        <f t="shared" si="6"/>
        <v>0</v>
      </c>
      <c r="CC14" s="12">
        <f t="shared" si="6"/>
        <v>0</v>
      </c>
      <c r="CD14" s="12">
        <f t="shared" si="6"/>
        <v>0</v>
      </c>
      <c r="CE14" s="12">
        <f t="shared" si="6"/>
        <v>0</v>
      </c>
      <c r="CF14" s="12">
        <f t="shared" si="6"/>
        <v>0</v>
      </c>
      <c r="CG14" s="12">
        <f t="shared" si="6"/>
        <v>0</v>
      </c>
      <c r="CH14" s="12">
        <f t="shared" si="6"/>
        <v>0</v>
      </c>
      <c r="CI14" s="12">
        <f t="shared" si="6"/>
        <v>0</v>
      </c>
      <c r="CJ14" s="12">
        <f t="shared" si="6"/>
        <v>0</v>
      </c>
      <c r="CK14" s="12">
        <f t="shared" si="6"/>
        <v>0</v>
      </c>
      <c r="CL14" s="12">
        <f t="shared" si="6"/>
        <v>0</v>
      </c>
      <c r="CM14" s="12">
        <f t="shared" si="6"/>
        <v>0</v>
      </c>
      <c r="CN14" s="12">
        <f t="shared" si="6"/>
        <v>0</v>
      </c>
      <c r="CO14" s="12">
        <f t="shared" si="6"/>
        <v>0</v>
      </c>
      <c r="CP14" s="12">
        <f t="shared" si="6"/>
        <v>0</v>
      </c>
      <c r="CQ14" s="12">
        <f t="shared" si="6"/>
        <v>0</v>
      </c>
      <c r="CR14" s="12">
        <f t="shared" si="6"/>
        <v>0</v>
      </c>
      <c r="CS14" s="12">
        <f t="shared" si="6"/>
        <v>0</v>
      </c>
      <c r="CT14" s="12">
        <f t="shared" si="6"/>
        <v>0</v>
      </c>
      <c r="CU14" s="12">
        <f t="shared" si="6"/>
        <v>0</v>
      </c>
      <c r="CV14" s="12">
        <f t="shared" si="6"/>
        <v>0</v>
      </c>
      <c r="CW14" s="12">
        <f t="shared" si="6"/>
        <v>0</v>
      </c>
      <c r="CX14" s="12">
        <f t="shared" si="6"/>
        <v>0</v>
      </c>
      <c r="CY14" s="12">
        <f t="shared" si="6"/>
        <v>0</v>
      </c>
      <c r="CZ14" s="12">
        <f t="shared" si="6"/>
        <v>0</v>
      </c>
      <c r="DA14" s="12">
        <f t="shared" si="6"/>
        <v>0</v>
      </c>
      <c r="DB14" s="12">
        <f t="shared" si="6"/>
        <v>0</v>
      </c>
      <c r="DC14" s="12">
        <f t="shared" si="6"/>
        <v>0</v>
      </c>
      <c r="DD14" s="12">
        <f t="shared" si="6"/>
        <v>0</v>
      </c>
      <c r="DE14" s="12">
        <f t="shared" si="6"/>
        <v>0</v>
      </c>
      <c r="DF14" s="12">
        <f t="shared" si="6"/>
        <v>0</v>
      </c>
      <c r="DG14" s="12">
        <f t="shared" si="6"/>
        <v>0</v>
      </c>
      <c r="DH14" s="12">
        <f t="shared" si="6"/>
        <v>0</v>
      </c>
      <c r="DI14" s="12">
        <f t="shared" si="6"/>
        <v>0</v>
      </c>
      <c r="DJ14" s="12">
        <f t="shared" si="6"/>
        <v>0</v>
      </c>
      <c r="DK14" s="12">
        <f t="shared" si="6"/>
        <v>0</v>
      </c>
      <c r="DL14" s="12">
        <f t="shared" si="6"/>
        <v>0</v>
      </c>
      <c r="DM14" s="12">
        <f t="shared" si="6"/>
        <v>0</v>
      </c>
      <c r="DN14" s="12">
        <f t="shared" si="6"/>
        <v>0</v>
      </c>
      <c r="DO14" s="12">
        <f t="shared" si="6"/>
        <v>0</v>
      </c>
      <c r="DP14" s="12">
        <f t="shared" si="6"/>
        <v>0</v>
      </c>
      <c r="DQ14" s="12">
        <f t="shared" si="6"/>
        <v>0</v>
      </c>
      <c r="DR14" s="12">
        <f t="shared" si="6"/>
        <v>0</v>
      </c>
      <c r="DS14" s="12">
        <f t="shared" si="6"/>
        <v>0</v>
      </c>
      <c r="DT14" s="12">
        <f t="shared" si="6"/>
        <v>0</v>
      </c>
      <c r="DU14" s="12">
        <f t="shared" si="6"/>
        <v>0</v>
      </c>
      <c r="DV14" s="12">
        <f t="shared" si="6"/>
        <v>0</v>
      </c>
      <c r="DW14" s="12">
        <f t="shared" si="6"/>
        <v>0</v>
      </c>
      <c r="DX14" s="12">
        <f t="shared" si="6"/>
        <v>0</v>
      </c>
      <c r="DY14" s="12">
        <f t="shared" si="6"/>
        <v>0</v>
      </c>
      <c r="DZ14" s="12">
        <f t="shared" si="6"/>
        <v>0</v>
      </c>
      <c r="EA14" s="12">
        <f t="shared" si="6"/>
        <v>0</v>
      </c>
      <c r="EB14" s="12">
        <f t="shared" si="6"/>
        <v>0</v>
      </c>
      <c r="EC14" s="12">
        <f t="shared" si="6"/>
        <v>0</v>
      </c>
      <c r="ED14" s="12">
        <f t="shared" si="6"/>
        <v>0</v>
      </c>
      <c r="EE14" s="12">
        <f t="shared" si="6"/>
        <v>0</v>
      </c>
      <c r="EF14" s="12">
        <f t="shared" si="6"/>
        <v>0</v>
      </c>
      <c r="EG14" s="12">
        <f t="shared" si="6"/>
        <v>0</v>
      </c>
      <c r="EH14" s="12">
        <f t="shared" si="6"/>
        <v>0</v>
      </c>
      <c r="EI14" s="12">
        <f t="shared" si="6"/>
        <v>0</v>
      </c>
      <c r="EJ14" s="12">
        <f t="shared" si="6"/>
        <v>0</v>
      </c>
      <c r="EK14" s="12">
        <f t="shared" si="6"/>
        <v>0</v>
      </c>
      <c r="EL14" s="12">
        <f t="shared" si="6"/>
        <v>0</v>
      </c>
      <c r="EM14" s="12">
        <f t="shared" si="6"/>
        <v>0</v>
      </c>
      <c r="EN14" s="12">
        <f t="shared" si="6"/>
        <v>0</v>
      </c>
      <c r="EO14" s="12">
        <f t="shared" si="6"/>
        <v>0</v>
      </c>
      <c r="EP14" s="12">
        <f t="shared" si="6"/>
        <v>0</v>
      </c>
      <c r="EQ14" s="12">
        <f t="shared" si="6"/>
        <v>0</v>
      </c>
      <c r="ER14" s="12">
        <f t="shared" si="6"/>
        <v>0</v>
      </c>
      <c r="ES14" s="12">
        <f t="shared" si="6"/>
        <v>0</v>
      </c>
      <c r="ET14" s="12">
        <f t="shared" si="6"/>
        <v>0</v>
      </c>
      <c r="EU14" s="12">
        <f t="shared" si="6"/>
        <v>0</v>
      </c>
      <c r="EV14" s="12">
        <f t="shared" si="6"/>
        <v>0</v>
      </c>
      <c r="EW14" s="12">
        <f t="shared" si="6"/>
        <v>0</v>
      </c>
      <c r="EX14" s="12">
        <f t="shared" si="6"/>
        <v>0</v>
      </c>
      <c r="EY14" s="12">
        <f t="shared" si="6"/>
        <v>0</v>
      </c>
      <c r="EZ14" s="12">
        <f t="shared" si="6"/>
        <v>0</v>
      </c>
      <c r="FA14" s="12">
        <f t="shared" si="6"/>
        <v>0</v>
      </c>
      <c r="FB14" s="12">
        <f t="shared" si="6"/>
        <v>0</v>
      </c>
      <c r="FC14" s="12">
        <f t="shared" si="6"/>
        <v>0</v>
      </c>
      <c r="FD14" s="12">
        <f t="shared" si="6"/>
        <v>0</v>
      </c>
      <c r="FE14" s="12">
        <f t="shared" si="6"/>
        <v>0</v>
      </c>
      <c r="FF14" s="12">
        <f t="shared" si="6"/>
        <v>0</v>
      </c>
      <c r="FG14" s="12">
        <f t="shared" si="6"/>
        <v>0</v>
      </c>
      <c r="FH14" s="12">
        <f t="shared" si="6"/>
        <v>0</v>
      </c>
      <c r="FI14" s="12">
        <f t="shared" si="6"/>
        <v>0</v>
      </c>
      <c r="FJ14" s="12">
        <f t="shared" si="6"/>
        <v>0</v>
      </c>
      <c r="FK14" s="12">
        <f t="shared" si="6"/>
        <v>0</v>
      </c>
      <c r="FL14" s="12">
        <f t="shared" si="6"/>
        <v>0</v>
      </c>
      <c r="FM14" s="12">
        <f t="shared" si="6"/>
        <v>0</v>
      </c>
      <c r="FN14" s="12">
        <f t="shared" si="6"/>
        <v>0</v>
      </c>
      <c r="FO14" s="12">
        <f t="shared" si="6"/>
        <v>0</v>
      </c>
      <c r="FP14" s="12">
        <f t="shared" si="6"/>
        <v>0</v>
      </c>
      <c r="FQ14" s="12">
        <f t="shared" si="6"/>
        <v>0</v>
      </c>
      <c r="FR14" s="12">
        <f t="shared" si="6"/>
        <v>0</v>
      </c>
      <c r="FS14" s="12">
        <f t="shared" si="6"/>
        <v>0</v>
      </c>
      <c r="FT14" s="12">
        <f t="shared" si="6"/>
        <v>0</v>
      </c>
      <c r="FU14" s="12">
        <f t="shared" si="6"/>
        <v>0</v>
      </c>
      <c r="FV14" s="12">
        <f t="shared" si="6"/>
        <v>0</v>
      </c>
      <c r="FW14" s="12">
        <f t="shared" si="6"/>
        <v>0</v>
      </c>
      <c r="FX14" s="12">
        <f t="shared" si="6"/>
        <v>0</v>
      </c>
      <c r="FY14" s="12">
        <f t="shared" si="6"/>
        <v>0</v>
      </c>
      <c r="FZ14" s="12">
        <f t="shared" si="6"/>
        <v>0</v>
      </c>
      <c r="GA14" s="12">
        <f t="shared" si="6"/>
        <v>0</v>
      </c>
      <c r="GB14" s="12">
        <f t="shared" si="6"/>
        <v>0</v>
      </c>
      <c r="GC14" s="12">
        <f t="shared" si="6"/>
        <v>0</v>
      </c>
      <c r="GD14" s="12">
        <f t="shared" si="6"/>
        <v>0</v>
      </c>
      <c r="GE14" s="12">
        <f t="shared" si="6"/>
        <v>0</v>
      </c>
      <c r="GF14" s="12">
        <f t="shared" si="6"/>
        <v>0</v>
      </c>
      <c r="GG14" s="12">
        <f t="shared" si="6"/>
        <v>0</v>
      </c>
      <c r="GH14" s="12">
        <f t="shared" si="6"/>
        <v>0</v>
      </c>
      <c r="GI14" s="12">
        <f t="shared" si="6"/>
        <v>0</v>
      </c>
      <c r="GJ14" s="12">
        <f t="shared" si="6"/>
        <v>0</v>
      </c>
      <c r="GK14" s="12">
        <f t="shared" si="6"/>
        <v>0</v>
      </c>
      <c r="GL14" s="12">
        <f t="shared" si="6"/>
        <v>0</v>
      </c>
      <c r="GM14" s="12">
        <f t="shared" si="6"/>
        <v>0</v>
      </c>
      <c r="GN14" s="12">
        <f t="shared" si="6"/>
        <v>0</v>
      </c>
      <c r="GO14" s="12">
        <f t="shared" si="6"/>
        <v>0</v>
      </c>
      <c r="GP14" s="12">
        <f t="shared" si="6"/>
        <v>0</v>
      </c>
      <c r="GQ14" s="12">
        <f t="shared" si="6"/>
        <v>0</v>
      </c>
      <c r="GR14" s="12">
        <f t="shared" si="6"/>
        <v>0</v>
      </c>
      <c r="GS14" s="12">
        <f t="shared" si="6"/>
        <v>0</v>
      </c>
      <c r="GT14" s="12">
        <f t="shared" si="6"/>
        <v>0</v>
      </c>
      <c r="GU14" s="12">
        <f t="shared" si="6"/>
        <v>0</v>
      </c>
    </row>
    <row r="15" ht="12.0" customHeight="1" outlineLevel="1">
      <c r="B15" s="2" t="s">
        <v>18</v>
      </c>
      <c r="C15" s="2"/>
      <c r="D15" s="4">
        <f t="shared" ref="D15:GU15" si="7">SUM(D13:D14)</f>
        <v>9025</v>
      </c>
      <c r="E15" s="4">
        <f t="shared" si="7"/>
        <v>9205.5</v>
      </c>
      <c r="F15" s="4">
        <f t="shared" si="7"/>
        <v>9389.61</v>
      </c>
      <c r="G15" s="4">
        <f t="shared" si="7"/>
        <v>9577.4022</v>
      </c>
      <c r="H15" s="4">
        <f t="shared" si="7"/>
        <v>9768.950244</v>
      </c>
      <c r="I15" s="4">
        <f t="shared" si="7"/>
        <v>9964.329249</v>
      </c>
      <c r="J15" s="4">
        <f t="shared" si="7"/>
        <v>10163.61583</v>
      </c>
      <c r="K15" s="4">
        <f t="shared" si="7"/>
        <v>10366.88815</v>
      </c>
      <c r="L15" s="4">
        <f t="shared" si="7"/>
        <v>10574.22591</v>
      </c>
      <c r="M15" s="4">
        <f t="shared" si="7"/>
        <v>10785.71043</v>
      </c>
      <c r="N15" s="4">
        <f t="shared" si="7"/>
        <v>11001.42464</v>
      </c>
      <c r="O15" s="4">
        <f t="shared" si="7"/>
        <v>11221.45313</v>
      </c>
      <c r="P15" s="4">
        <f t="shared" si="7"/>
        <v>11445.8822</v>
      </c>
      <c r="Q15" s="4">
        <f t="shared" si="7"/>
        <v>11674.79984</v>
      </c>
      <c r="R15" s="4">
        <f t="shared" si="7"/>
        <v>11908.29584</v>
      </c>
      <c r="S15" s="4">
        <f t="shared" si="7"/>
        <v>12146.46175</v>
      </c>
      <c r="T15" s="4">
        <f t="shared" si="7"/>
        <v>12389.39099</v>
      </c>
      <c r="U15" s="4">
        <f t="shared" si="7"/>
        <v>12637.17881</v>
      </c>
      <c r="V15" s="4">
        <f t="shared" si="7"/>
        <v>12889.92238</v>
      </c>
      <c r="W15" s="4">
        <f t="shared" si="7"/>
        <v>13147.72083</v>
      </c>
      <c r="X15" s="4">
        <f t="shared" si="7"/>
        <v>13410.67525</v>
      </c>
      <c r="Y15" s="4">
        <f t="shared" si="7"/>
        <v>13678.88875</v>
      </c>
      <c r="Z15" s="4">
        <f t="shared" si="7"/>
        <v>13952.46653</v>
      </c>
      <c r="AA15" s="4">
        <f t="shared" si="7"/>
        <v>14231.51586</v>
      </c>
      <c r="AB15" s="4">
        <f t="shared" si="7"/>
        <v>14516.14618</v>
      </c>
      <c r="AC15" s="4">
        <f t="shared" si="7"/>
        <v>14806.4691</v>
      </c>
      <c r="AD15" s="4">
        <f t="shared" si="7"/>
        <v>15102.59848</v>
      </c>
      <c r="AE15" s="4">
        <f t="shared" si="7"/>
        <v>15404.65045</v>
      </c>
      <c r="AF15" s="4">
        <f t="shared" si="7"/>
        <v>15712.74346</v>
      </c>
      <c r="AG15" s="4">
        <f t="shared" si="7"/>
        <v>16026.99833</v>
      </c>
      <c r="AH15" s="4">
        <f t="shared" si="7"/>
        <v>16347.5383</v>
      </c>
      <c r="AI15" s="4">
        <f t="shared" si="7"/>
        <v>16674.48906</v>
      </c>
      <c r="AJ15" s="4">
        <f t="shared" si="7"/>
        <v>17007.97884</v>
      </c>
      <c r="AK15" s="4">
        <f t="shared" si="7"/>
        <v>17348.13842</v>
      </c>
      <c r="AL15" s="4">
        <f t="shared" si="7"/>
        <v>17695.10119</v>
      </c>
      <c r="AM15" s="4">
        <f t="shared" si="7"/>
        <v>18049.00321</v>
      </c>
      <c r="AN15" s="4">
        <f t="shared" si="7"/>
        <v>18409.98328</v>
      </c>
      <c r="AO15" s="4">
        <f t="shared" si="7"/>
        <v>18778.18294</v>
      </c>
      <c r="AP15" s="4">
        <f t="shared" si="7"/>
        <v>19153.7466</v>
      </c>
      <c r="AQ15" s="4">
        <f t="shared" si="7"/>
        <v>19536.82153</v>
      </c>
      <c r="AR15" s="4">
        <f t="shared" si="7"/>
        <v>19927.55796</v>
      </c>
      <c r="AS15" s="4">
        <f t="shared" si="7"/>
        <v>20326.10912</v>
      </c>
      <c r="AT15" s="4">
        <f t="shared" si="7"/>
        <v>20732.63131</v>
      </c>
      <c r="AU15" s="4">
        <f t="shared" si="7"/>
        <v>21147.28393</v>
      </c>
      <c r="AV15" s="4">
        <f t="shared" si="7"/>
        <v>21570.22961</v>
      </c>
      <c r="AW15" s="4">
        <f t="shared" si="7"/>
        <v>22001.6342</v>
      </c>
      <c r="AX15" s="4">
        <f t="shared" si="7"/>
        <v>22441.66689</v>
      </c>
      <c r="AY15" s="4">
        <f t="shared" si="7"/>
        <v>22890.50022</v>
      </c>
      <c r="AZ15" s="4">
        <f t="shared" si="7"/>
        <v>23348.31023</v>
      </c>
      <c r="BA15" s="4">
        <f t="shared" si="7"/>
        <v>23815.27643</v>
      </c>
      <c r="BB15" s="4">
        <f t="shared" si="7"/>
        <v>24291.58196</v>
      </c>
      <c r="BC15" s="4">
        <f t="shared" si="7"/>
        <v>24777.4136</v>
      </c>
      <c r="BD15" s="4">
        <f t="shared" si="7"/>
        <v>25272.96187</v>
      </c>
      <c r="BE15" s="4">
        <f t="shared" si="7"/>
        <v>25778.42111</v>
      </c>
      <c r="BF15" s="4">
        <f t="shared" si="7"/>
        <v>26293.98953</v>
      </c>
      <c r="BG15" s="4">
        <f t="shared" si="7"/>
        <v>26819.86932</v>
      </c>
      <c r="BH15" s="4">
        <f t="shared" si="7"/>
        <v>27356.26671</v>
      </c>
      <c r="BI15" s="4">
        <f t="shared" si="7"/>
        <v>27903.39204</v>
      </c>
      <c r="BJ15" s="4">
        <f t="shared" si="7"/>
        <v>28461.45989</v>
      </c>
      <c r="BK15" s="4">
        <f t="shared" si="7"/>
        <v>29030.68908</v>
      </c>
      <c r="BL15" s="4">
        <f t="shared" si="7"/>
        <v>29611.30286</v>
      </c>
      <c r="BM15" s="4">
        <f t="shared" si="7"/>
        <v>30203.52892</v>
      </c>
      <c r="BN15" s="4">
        <f t="shared" si="7"/>
        <v>30807.5995</v>
      </c>
      <c r="BO15" s="4">
        <f t="shared" si="7"/>
        <v>31423.75149</v>
      </c>
      <c r="BP15" s="4">
        <f t="shared" si="7"/>
        <v>32052.22652</v>
      </c>
      <c r="BQ15" s="4">
        <f t="shared" si="7"/>
        <v>32693.27105</v>
      </c>
      <c r="BR15" s="4">
        <f t="shared" si="7"/>
        <v>33347.13647</v>
      </c>
      <c r="BS15" s="4">
        <f t="shared" si="7"/>
        <v>34014.0792</v>
      </c>
      <c r="BT15" s="4">
        <f t="shared" si="7"/>
        <v>34694.36079</v>
      </c>
      <c r="BU15" s="4">
        <f t="shared" si="7"/>
        <v>35388.248</v>
      </c>
      <c r="BV15" s="4">
        <f t="shared" si="7"/>
        <v>36096.01296</v>
      </c>
      <c r="BW15" s="4">
        <f t="shared" si="7"/>
        <v>36817.93322</v>
      </c>
      <c r="BX15" s="4">
        <f t="shared" si="7"/>
        <v>37554.29188</v>
      </c>
      <c r="BY15" s="4">
        <f t="shared" si="7"/>
        <v>38305.37772</v>
      </c>
      <c r="BZ15" s="4">
        <f t="shared" si="7"/>
        <v>39071.48528</v>
      </c>
      <c r="CA15" s="4">
        <f t="shared" si="7"/>
        <v>39852.91498</v>
      </c>
      <c r="CB15" s="4">
        <f t="shared" si="7"/>
        <v>40649.97328</v>
      </c>
      <c r="CC15" s="4">
        <f t="shared" si="7"/>
        <v>41462.97275</v>
      </c>
      <c r="CD15" s="4">
        <f t="shared" si="7"/>
        <v>42292.2322</v>
      </c>
      <c r="CE15" s="4">
        <f t="shared" si="7"/>
        <v>43138.07685</v>
      </c>
      <c r="CF15" s="4">
        <f t="shared" si="7"/>
        <v>44000.83838</v>
      </c>
      <c r="CG15" s="4">
        <f t="shared" si="7"/>
        <v>44880.85515</v>
      </c>
      <c r="CH15" s="4">
        <f t="shared" si="7"/>
        <v>45778.47225</v>
      </c>
      <c r="CI15" s="4">
        <f t="shared" si="7"/>
        <v>46694.0417</v>
      </c>
      <c r="CJ15" s="4">
        <f t="shared" si="7"/>
        <v>47627.92253</v>
      </c>
      <c r="CK15" s="4">
        <f t="shared" si="7"/>
        <v>48580.48098</v>
      </c>
      <c r="CL15" s="4">
        <f t="shared" si="7"/>
        <v>49552.0906</v>
      </c>
      <c r="CM15" s="4">
        <f t="shared" si="7"/>
        <v>50543.13242</v>
      </c>
      <c r="CN15" s="4">
        <f t="shared" si="7"/>
        <v>51553.99506</v>
      </c>
      <c r="CO15" s="4">
        <f t="shared" si="7"/>
        <v>52585.07497</v>
      </c>
      <c r="CP15" s="4">
        <f t="shared" si="7"/>
        <v>53636.77646</v>
      </c>
      <c r="CQ15" s="4">
        <f t="shared" si="7"/>
        <v>54709.51199</v>
      </c>
      <c r="CR15" s="4">
        <f t="shared" si="7"/>
        <v>55803.70223</v>
      </c>
      <c r="CS15" s="4">
        <f t="shared" si="7"/>
        <v>56919.77628</v>
      </c>
      <c r="CT15" s="4">
        <f t="shared" si="7"/>
        <v>58058.1718</v>
      </c>
      <c r="CU15" s="4">
        <f t="shared" si="7"/>
        <v>59219.33524</v>
      </c>
      <c r="CV15" s="4">
        <f t="shared" si="7"/>
        <v>60403.72195</v>
      </c>
      <c r="CW15" s="4">
        <f t="shared" si="7"/>
        <v>61611.79638</v>
      </c>
      <c r="CX15" s="4">
        <f t="shared" si="7"/>
        <v>62844.03231</v>
      </c>
      <c r="CY15" s="4">
        <f t="shared" si="7"/>
        <v>64100.91296</v>
      </c>
      <c r="CZ15" s="4">
        <f t="shared" si="7"/>
        <v>65382.93122</v>
      </c>
      <c r="DA15" s="4">
        <f t="shared" si="7"/>
        <v>66690.58984</v>
      </c>
      <c r="DB15" s="4">
        <f t="shared" si="7"/>
        <v>68024.40164</v>
      </c>
      <c r="DC15" s="4">
        <f t="shared" si="7"/>
        <v>69384.88967</v>
      </c>
      <c r="DD15" s="4">
        <f t="shared" si="7"/>
        <v>70772.58746</v>
      </c>
      <c r="DE15" s="4">
        <f t="shared" si="7"/>
        <v>72188.03921</v>
      </c>
      <c r="DF15" s="4">
        <f t="shared" si="7"/>
        <v>73631.8</v>
      </c>
      <c r="DG15" s="4">
        <f t="shared" si="7"/>
        <v>75104.436</v>
      </c>
      <c r="DH15" s="4">
        <f t="shared" si="7"/>
        <v>76606.52472</v>
      </c>
      <c r="DI15" s="4">
        <f t="shared" si="7"/>
        <v>78138.65521</v>
      </c>
      <c r="DJ15" s="4">
        <f t="shared" si="7"/>
        <v>79701.42832</v>
      </c>
      <c r="DK15" s="4">
        <f t="shared" si="7"/>
        <v>81295.45688</v>
      </c>
      <c r="DL15" s="4">
        <f t="shared" si="7"/>
        <v>82921.36602</v>
      </c>
      <c r="DM15" s="4">
        <f t="shared" si="7"/>
        <v>84579.79334</v>
      </c>
      <c r="DN15" s="4">
        <f t="shared" si="7"/>
        <v>86271.38921</v>
      </c>
      <c r="DO15" s="4">
        <f t="shared" si="7"/>
        <v>87996.81699</v>
      </c>
      <c r="DP15" s="4">
        <f t="shared" si="7"/>
        <v>89756.75333</v>
      </c>
      <c r="DQ15" s="4">
        <f t="shared" si="7"/>
        <v>91551.8884</v>
      </c>
      <c r="DR15" s="4">
        <f t="shared" si="7"/>
        <v>93382.92617</v>
      </c>
      <c r="DS15" s="4">
        <f t="shared" si="7"/>
        <v>95250.58469</v>
      </c>
      <c r="DT15" s="4">
        <f t="shared" si="7"/>
        <v>97155.59638</v>
      </c>
      <c r="DU15" s="4">
        <f t="shared" si="7"/>
        <v>99098.70831</v>
      </c>
      <c r="DV15" s="4">
        <f t="shared" si="7"/>
        <v>101080.6825</v>
      </c>
      <c r="DW15" s="4">
        <f t="shared" si="7"/>
        <v>103102.2961</v>
      </c>
      <c r="DX15" s="4">
        <f t="shared" si="7"/>
        <v>105164.342</v>
      </c>
      <c r="DY15" s="4">
        <f t="shared" si="7"/>
        <v>107267.6289</v>
      </c>
      <c r="DZ15" s="4">
        <f t="shared" si="7"/>
        <v>109412.9815</v>
      </c>
      <c r="EA15" s="4">
        <f t="shared" si="7"/>
        <v>111601.2411</v>
      </c>
      <c r="EB15" s="4">
        <f t="shared" si="7"/>
        <v>113833.2659</v>
      </c>
      <c r="EC15" s="4">
        <f t="shared" si="7"/>
        <v>116109.9312</v>
      </c>
      <c r="ED15" s="4">
        <f t="shared" si="7"/>
        <v>118432.1299</v>
      </c>
      <c r="EE15" s="4">
        <f t="shared" si="7"/>
        <v>120800.7725</v>
      </c>
      <c r="EF15" s="4">
        <f t="shared" si="7"/>
        <v>123216.7879</v>
      </c>
      <c r="EG15" s="4">
        <f t="shared" si="7"/>
        <v>125681.1237</v>
      </c>
      <c r="EH15" s="4">
        <f t="shared" si="7"/>
        <v>128194.7461</v>
      </c>
      <c r="EI15" s="4">
        <f t="shared" si="7"/>
        <v>130758.6411</v>
      </c>
      <c r="EJ15" s="4">
        <f t="shared" si="7"/>
        <v>133373.8139</v>
      </c>
      <c r="EK15" s="4">
        <f t="shared" si="7"/>
        <v>136041.2902</v>
      </c>
      <c r="EL15" s="4">
        <f t="shared" si="7"/>
        <v>138762.116</v>
      </c>
      <c r="EM15" s="4">
        <f t="shared" si="7"/>
        <v>141537.3583</v>
      </c>
      <c r="EN15" s="4">
        <f t="shared" si="7"/>
        <v>144368.1055</v>
      </c>
      <c r="EO15" s="4">
        <f t="shared" si="7"/>
        <v>147255.4676</v>
      </c>
      <c r="EP15" s="4">
        <f t="shared" si="7"/>
        <v>150200.5769</v>
      </c>
      <c r="EQ15" s="4">
        <f t="shared" si="7"/>
        <v>153204.5884</v>
      </c>
      <c r="ER15" s="4">
        <f t="shared" si="7"/>
        <v>156268.6802</v>
      </c>
      <c r="ES15" s="4">
        <f t="shared" si="7"/>
        <v>159394.0538</v>
      </c>
      <c r="ET15" s="4">
        <f t="shared" si="7"/>
        <v>162581.9349</v>
      </c>
      <c r="EU15" s="4">
        <f t="shared" si="7"/>
        <v>165833.5736</v>
      </c>
      <c r="EV15" s="4">
        <f t="shared" si="7"/>
        <v>169150.2451</v>
      </c>
      <c r="EW15" s="4">
        <f t="shared" si="7"/>
        <v>172533.25</v>
      </c>
      <c r="EX15" s="4">
        <f t="shared" si="7"/>
        <v>175983.915</v>
      </c>
      <c r="EY15" s="4">
        <f t="shared" si="7"/>
        <v>179503.5933</v>
      </c>
      <c r="EZ15" s="4">
        <f t="shared" si="7"/>
        <v>183093.6651</v>
      </c>
      <c r="FA15" s="4">
        <f t="shared" si="7"/>
        <v>186755.5384</v>
      </c>
      <c r="FB15" s="4">
        <f t="shared" si="7"/>
        <v>190490.6492</v>
      </c>
      <c r="FC15" s="4">
        <f t="shared" si="7"/>
        <v>194300.4622</v>
      </c>
      <c r="FD15" s="4">
        <f t="shared" si="7"/>
        <v>198186.4714</v>
      </c>
      <c r="FE15" s="4">
        <f t="shared" si="7"/>
        <v>202150.2009</v>
      </c>
      <c r="FF15" s="4">
        <f t="shared" si="7"/>
        <v>206193.2049</v>
      </c>
      <c r="FG15" s="4">
        <f t="shared" si="7"/>
        <v>210317.069</v>
      </c>
      <c r="FH15" s="4">
        <f t="shared" si="7"/>
        <v>214523.4104</v>
      </c>
      <c r="FI15" s="4">
        <f t="shared" si="7"/>
        <v>218813.8786</v>
      </c>
      <c r="FJ15" s="4">
        <f t="shared" si="7"/>
        <v>223190.1561</v>
      </c>
      <c r="FK15" s="4">
        <f t="shared" si="7"/>
        <v>227653.9593</v>
      </c>
      <c r="FL15" s="4">
        <f t="shared" si="7"/>
        <v>232207.0384</v>
      </c>
      <c r="FM15" s="4">
        <f t="shared" si="7"/>
        <v>236851.1792</v>
      </c>
      <c r="FN15" s="4">
        <f t="shared" si="7"/>
        <v>241588.2028</v>
      </c>
      <c r="FO15" s="4">
        <f t="shared" si="7"/>
        <v>246419.9669</v>
      </c>
      <c r="FP15" s="4">
        <f t="shared" si="7"/>
        <v>251348.3662</v>
      </c>
      <c r="FQ15" s="4">
        <f t="shared" si="7"/>
        <v>256375.3335</v>
      </c>
      <c r="FR15" s="4">
        <f t="shared" si="7"/>
        <v>261502.8402</v>
      </c>
      <c r="FS15" s="4">
        <f t="shared" si="7"/>
        <v>266732.897</v>
      </c>
      <c r="FT15" s="4">
        <f t="shared" si="7"/>
        <v>272067.5549</v>
      </c>
      <c r="FU15" s="4">
        <f t="shared" si="7"/>
        <v>277508.906</v>
      </c>
      <c r="FV15" s="4">
        <f t="shared" si="7"/>
        <v>283059.0841</v>
      </c>
      <c r="FW15" s="4">
        <f t="shared" si="7"/>
        <v>288720.2658</v>
      </c>
      <c r="FX15" s="4">
        <f t="shared" si="7"/>
        <v>294494.6711</v>
      </c>
      <c r="FY15" s="4">
        <f t="shared" si="7"/>
        <v>300384.5646</v>
      </c>
      <c r="FZ15" s="4">
        <f t="shared" si="7"/>
        <v>306392.2559</v>
      </c>
      <c r="GA15" s="4">
        <f t="shared" si="7"/>
        <v>312520.101</v>
      </c>
      <c r="GB15" s="4">
        <f t="shared" si="7"/>
        <v>318770.503</v>
      </c>
      <c r="GC15" s="4">
        <f t="shared" si="7"/>
        <v>325145.9131</v>
      </c>
      <c r="GD15" s="4">
        <f t="shared" si="7"/>
        <v>331648.8313</v>
      </c>
      <c r="GE15" s="4">
        <f t="shared" si="7"/>
        <v>338281.8079</v>
      </c>
      <c r="GF15" s="4">
        <f t="shared" si="7"/>
        <v>345047.4441</v>
      </c>
      <c r="GG15" s="4">
        <f t="shared" si="7"/>
        <v>351948.393</v>
      </c>
      <c r="GH15" s="4">
        <f t="shared" si="7"/>
        <v>358987.3608</v>
      </c>
      <c r="GI15" s="4">
        <f t="shared" si="7"/>
        <v>366167.1081</v>
      </c>
      <c r="GJ15" s="4">
        <f t="shared" si="7"/>
        <v>373490.4502</v>
      </c>
      <c r="GK15" s="4">
        <f t="shared" si="7"/>
        <v>380960.2592</v>
      </c>
      <c r="GL15" s="4">
        <f t="shared" si="7"/>
        <v>388579.4644</v>
      </c>
      <c r="GM15" s="4">
        <f t="shared" si="7"/>
        <v>396351.0537</v>
      </c>
      <c r="GN15" s="4">
        <f t="shared" si="7"/>
        <v>404278.0748</v>
      </c>
      <c r="GO15" s="4">
        <f t="shared" si="7"/>
        <v>412363.6363</v>
      </c>
      <c r="GP15" s="4">
        <f t="shared" si="7"/>
        <v>420610.909</v>
      </c>
      <c r="GQ15" s="4">
        <f t="shared" si="7"/>
        <v>429023.1272</v>
      </c>
      <c r="GR15" s="4">
        <f t="shared" si="7"/>
        <v>437603.5897</v>
      </c>
      <c r="GS15" s="4">
        <f t="shared" si="7"/>
        <v>446355.6615</v>
      </c>
      <c r="GT15" s="4">
        <f t="shared" si="7"/>
        <v>455282.7747</v>
      </c>
      <c r="GU15" s="4">
        <f t="shared" si="7"/>
        <v>464388.4302</v>
      </c>
    </row>
    <row r="16" ht="12.0" customHeight="1"/>
    <row r="17" ht="12.0" customHeight="1" outlineLevel="1">
      <c r="B17" s="1" t="s">
        <v>97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2.0" customHeight="1" outlineLevel="1">
      <c r="B18" s="2" t="s">
        <v>16</v>
      </c>
      <c r="C18" s="2"/>
      <c r="D18" s="4">
        <f t="shared" ref="D18:GU18" si="8">D13</f>
        <v>9025</v>
      </c>
      <c r="E18" s="4">
        <f t="shared" si="8"/>
        <v>9205.5</v>
      </c>
      <c r="F18" s="4">
        <f t="shared" si="8"/>
        <v>9389.61</v>
      </c>
      <c r="G18" s="4">
        <f t="shared" si="8"/>
        <v>9577.4022</v>
      </c>
      <c r="H18" s="4">
        <f t="shared" si="8"/>
        <v>9768.950244</v>
      </c>
      <c r="I18" s="4">
        <f t="shared" si="8"/>
        <v>9964.329249</v>
      </c>
      <c r="J18" s="4">
        <f t="shared" si="8"/>
        <v>10163.61583</v>
      </c>
      <c r="K18" s="4">
        <f t="shared" si="8"/>
        <v>10366.88815</v>
      </c>
      <c r="L18" s="4">
        <f t="shared" si="8"/>
        <v>10574.22591</v>
      </c>
      <c r="M18" s="4">
        <f t="shared" si="8"/>
        <v>10785.71043</v>
      </c>
      <c r="N18" s="4">
        <f t="shared" si="8"/>
        <v>11001.42464</v>
      </c>
      <c r="O18" s="4">
        <f t="shared" si="8"/>
        <v>11221.45313</v>
      </c>
      <c r="P18" s="4">
        <f t="shared" si="8"/>
        <v>11445.8822</v>
      </c>
      <c r="Q18" s="4">
        <f t="shared" si="8"/>
        <v>11674.79984</v>
      </c>
      <c r="R18" s="4">
        <f t="shared" si="8"/>
        <v>11908.29584</v>
      </c>
      <c r="S18" s="4">
        <f t="shared" si="8"/>
        <v>12146.46175</v>
      </c>
      <c r="T18" s="4">
        <f t="shared" si="8"/>
        <v>12389.39099</v>
      </c>
      <c r="U18" s="4">
        <f t="shared" si="8"/>
        <v>12637.17881</v>
      </c>
      <c r="V18" s="4">
        <f t="shared" si="8"/>
        <v>12889.92238</v>
      </c>
      <c r="W18" s="4">
        <f t="shared" si="8"/>
        <v>13147.72083</v>
      </c>
      <c r="X18" s="4">
        <f t="shared" si="8"/>
        <v>13410.67525</v>
      </c>
      <c r="Y18" s="4">
        <f t="shared" si="8"/>
        <v>13678.88875</v>
      </c>
      <c r="Z18" s="4">
        <f t="shared" si="8"/>
        <v>13952.46653</v>
      </c>
      <c r="AA18" s="4">
        <f t="shared" si="8"/>
        <v>14231.51586</v>
      </c>
      <c r="AB18" s="4">
        <f t="shared" si="8"/>
        <v>14516.14618</v>
      </c>
      <c r="AC18" s="4">
        <f t="shared" si="8"/>
        <v>14806.4691</v>
      </c>
      <c r="AD18" s="4">
        <f t="shared" si="8"/>
        <v>15102.59848</v>
      </c>
      <c r="AE18" s="4">
        <f t="shared" si="8"/>
        <v>15404.65045</v>
      </c>
      <c r="AF18" s="4">
        <f t="shared" si="8"/>
        <v>15712.74346</v>
      </c>
      <c r="AG18" s="4">
        <f t="shared" si="8"/>
        <v>16026.99833</v>
      </c>
      <c r="AH18" s="4">
        <f t="shared" si="8"/>
        <v>16347.5383</v>
      </c>
      <c r="AI18" s="4">
        <f t="shared" si="8"/>
        <v>16674.48906</v>
      </c>
      <c r="AJ18" s="4">
        <f t="shared" si="8"/>
        <v>17007.97884</v>
      </c>
      <c r="AK18" s="4">
        <f t="shared" si="8"/>
        <v>17348.13842</v>
      </c>
      <c r="AL18" s="4">
        <f t="shared" si="8"/>
        <v>17695.10119</v>
      </c>
      <c r="AM18" s="4">
        <f t="shared" si="8"/>
        <v>18049.00321</v>
      </c>
      <c r="AN18" s="4">
        <f t="shared" si="8"/>
        <v>18409.98328</v>
      </c>
      <c r="AO18" s="4">
        <f t="shared" si="8"/>
        <v>18778.18294</v>
      </c>
      <c r="AP18" s="4">
        <f t="shared" si="8"/>
        <v>19153.7466</v>
      </c>
      <c r="AQ18" s="4">
        <f t="shared" si="8"/>
        <v>19536.82153</v>
      </c>
      <c r="AR18" s="4">
        <f t="shared" si="8"/>
        <v>19927.55796</v>
      </c>
      <c r="AS18" s="4">
        <f t="shared" si="8"/>
        <v>20326.10912</v>
      </c>
      <c r="AT18" s="4">
        <f t="shared" si="8"/>
        <v>20732.63131</v>
      </c>
      <c r="AU18" s="4">
        <f t="shared" si="8"/>
        <v>21147.28393</v>
      </c>
      <c r="AV18" s="4">
        <f t="shared" si="8"/>
        <v>21570.22961</v>
      </c>
      <c r="AW18" s="4">
        <f t="shared" si="8"/>
        <v>22001.6342</v>
      </c>
      <c r="AX18" s="4">
        <f t="shared" si="8"/>
        <v>22441.66689</v>
      </c>
      <c r="AY18" s="4">
        <f t="shared" si="8"/>
        <v>22890.50022</v>
      </c>
      <c r="AZ18" s="4">
        <f t="shared" si="8"/>
        <v>23348.31023</v>
      </c>
      <c r="BA18" s="4">
        <f t="shared" si="8"/>
        <v>23815.27643</v>
      </c>
      <c r="BB18" s="4">
        <f t="shared" si="8"/>
        <v>24291.58196</v>
      </c>
      <c r="BC18" s="4">
        <f t="shared" si="8"/>
        <v>24777.4136</v>
      </c>
      <c r="BD18" s="4">
        <f t="shared" si="8"/>
        <v>25272.96187</v>
      </c>
      <c r="BE18" s="4">
        <f t="shared" si="8"/>
        <v>25778.42111</v>
      </c>
      <c r="BF18" s="4">
        <f t="shared" si="8"/>
        <v>26293.98953</v>
      </c>
      <c r="BG18" s="4">
        <f t="shared" si="8"/>
        <v>26819.86932</v>
      </c>
      <c r="BH18" s="4">
        <f t="shared" si="8"/>
        <v>27356.26671</v>
      </c>
      <c r="BI18" s="4">
        <f t="shared" si="8"/>
        <v>27903.39204</v>
      </c>
      <c r="BJ18" s="4">
        <f t="shared" si="8"/>
        <v>28461.45989</v>
      </c>
      <c r="BK18" s="4">
        <f t="shared" si="8"/>
        <v>29030.68908</v>
      </c>
      <c r="BL18" s="4">
        <f t="shared" si="8"/>
        <v>29611.30286</v>
      </c>
      <c r="BM18" s="4">
        <f t="shared" si="8"/>
        <v>30203.52892</v>
      </c>
      <c r="BN18" s="4">
        <f t="shared" si="8"/>
        <v>30807.5995</v>
      </c>
      <c r="BO18" s="4">
        <f t="shared" si="8"/>
        <v>31423.75149</v>
      </c>
      <c r="BP18" s="4">
        <f t="shared" si="8"/>
        <v>32052.22652</v>
      </c>
      <c r="BQ18" s="4">
        <f t="shared" si="8"/>
        <v>32693.27105</v>
      </c>
      <c r="BR18" s="4">
        <f t="shared" si="8"/>
        <v>33347.13647</v>
      </c>
      <c r="BS18" s="4">
        <f t="shared" si="8"/>
        <v>34014.0792</v>
      </c>
      <c r="BT18" s="4">
        <f t="shared" si="8"/>
        <v>34694.36079</v>
      </c>
      <c r="BU18" s="4">
        <f t="shared" si="8"/>
        <v>35388.248</v>
      </c>
      <c r="BV18" s="4">
        <f t="shared" si="8"/>
        <v>36096.01296</v>
      </c>
      <c r="BW18" s="4">
        <f t="shared" si="8"/>
        <v>36817.93322</v>
      </c>
      <c r="BX18" s="4">
        <f t="shared" si="8"/>
        <v>37554.29188</v>
      </c>
      <c r="BY18" s="4">
        <f t="shared" si="8"/>
        <v>38305.37772</v>
      </c>
      <c r="BZ18" s="4">
        <f t="shared" si="8"/>
        <v>39071.48528</v>
      </c>
      <c r="CA18" s="4">
        <f t="shared" si="8"/>
        <v>39852.91498</v>
      </c>
      <c r="CB18" s="4">
        <f t="shared" si="8"/>
        <v>40649.97328</v>
      </c>
      <c r="CC18" s="4">
        <f t="shared" si="8"/>
        <v>41462.97275</v>
      </c>
      <c r="CD18" s="4">
        <f t="shared" si="8"/>
        <v>42292.2322</v>
      </c>
      <c r="CE18" s="4">
        <f t="shared" si="8"/>
        <v>43138.07685</v>
      </c>
      <c r="CF18" s="4">
        <f t="shared" si="8"/>
        <v>44000.83838</v>
      </c>
      <c r="CG18" s="4">
        <f t="shared" si="8"/>
        <v>44880.85515</v>
      </c>
      <c r="CH18" s="4">
        <f t="shared" si="8"/>
        <v>45778.47225</v>
      </c>
      <c r="CI18" s="4">
        <f t="shared" si="8"/>
        <v>46694.0417</v>
      </c>
      <c r="CJ18" s="4">
        <f t="shared" si="8"/>
        <v>47627.92253</v>
      </c>
      <c r="CK18" s="4">
        <f t="shared" si="8"/>
        <v>48580.48098</v>
      </c>
      <c r="CL18" s="4">
        <f t="shared" si="8"/>
        <v>49552.0906</v>
      </c>
      <c r="CM18" s="4">
        <f t="shared" si="8"/>
        <v>50543.13242</v>
      </c>
      <c r="CN18" s="4">
        <f t="shared" si="8"/>
        <v>51553.99506</v>
      </c>
      <c r="CO18" s="4">
        <f t="shared" si="8"/>
        <v>52585.07497</v>
      </c>
      <c r="CP18" s="4">
        <f t="shared" si="8"/>
        <v>53636.77646</v>
      </c>
      <c r="CQ18" s="4">
        <f t="shared" si="8"/>
        <v>54709.51199</v>
      </c>
      <c r="CR18" s="4">
        <f t="shared" si="8"/>
        <v>55803.70223</v>
      </c>
      <c r="CS18" s="4">
        <f t="shared" si="8"/>
        <v>56919.77628</v>
      </c>
      <c r="CT18" s="4">
        <f t="shared" si="8"/>
        <v>58058.1718</v>
      </c>
      <c r="CU18" s="4">
        <f t="shared" si="8"/>
        <v>59219.33524</v>
      </c>
      <c r="CV18" s="4">
        <f t="shared" si="8"/>
        <v>60403.72195</v>
      </c>
      <c r="CW18" s="4">
        <f t="shared" si="8"/>
        <v>61611.79638</v>
      </c>
      <c r="CX18" s="4">
        <f t="shared" si="8"/>
        <v>62844.03231</v>
      </c>
      <c r="CY18" s="4">
        <f t="shared" si="8"/>
        <v>64100.91296</v>
      </c>
      <c r="CZ18" s="4">
        <f t="shared" si="8"/>
        <v>65382.93122</v>
      </c>
      <c r="DA18" s="4">
        <f t="shared" si="8"/>
        <v>66690.58984</v>
      </c>
      <c r="DB18" s="4">
        <f t="shared" si="8"/>
        <v>68024.40164</v>
      </c>
      <c r="DC18" s="4">
        <f t="shared" si="8"/>
        <v>69384.88967</v>
      </c>
      <c r="DD18" s="4">
        <f t="shared" si="8"/>
        <v>70772.58746</v>
      </c>
      <c r="DE18" s="4">
        <f t="shared" si="8"/>
        <v>72188.03921</v>
      </c>
      <c r="DF18" s="4">
        <f t="shared" si="8"/>
        <v>73631.8</v>
      </c>
      <c r="DG18" s="4">
        <f t="shared" si="8"/>
        <v>75104.436</v>
      </c>
      <c r="DH18" s="4">
        <f t="shared" si="8"/>
        <v>76606.52472</v>
      </c>
      <c r="DI18" s="4">
        <f t="shared" si="8"/>
        <v>78138.65521</v>
      </c>
      <c r="DJ18" s="4">
        <f t="shared" si="8"/>
        <v>79701.42832</v>
      </c>
      <c r="DK18" s="4">
        <f t="shared" si="8"/>
        <v>81295.45688</v>
      </c>
      <c r="DL18" s="4">
        <f t="shared" si="8"/>
        <v>82921.36602</v>
      </c>
      <c r="DM18" s="4">
        <f t="shared" si="8"/>
        <v>84579.79334</v>
      </c>
      <c r="DN18" s="4">
        <f t="shared" si="8"/>
        <v>86271.38921</v>
      </c>
      <c r="DO18" s="4">
        <f t="shared" si="8"/>
        <v>87996.81699</v>
      </c>
      <c r="DP18" s="4">
        <f t="shared" si="8"/>
        <v>89756.75333</v>
      </c>
      <c r="DQ18" s="4">
        <f t="shared" si="8"/>
        <v>91551.8884</v>
      </c>
      <c r="DR18" s="4">
        <f t="shared" si="8"/>
        <v>93382.92617</v>
      </c>
      <c r="DS18" s="4">
        <f t="shared" si="8"/>
        <v>95250.58469</v>
      </c>
      <c r="DT18" s="4">
        <f t="shared" si="8"/>
        <v>97155.59638</v>
      </c>
      <c r="DU18" s="4">
        <f t="shared" si="8"/>
        <v>99098.70831</v>
      </c>
      <c r="DV18" s="4">
        <f t="shared" si="8"/>
        <v>101080.6825</v>
      </c>
      <c r="DW18" s="4">
        <f t="shared" si="8"/>
        <v>103102.2961</v>
      </c>
      <c r="DX18" s="4">
        <f t="shared" si="8"/>
        <v>105164.342</v>
      </c>
      <c r="DY18" s="4">
        <f t="shared" si="8"/>
        <v>107267.6289</v>
      </c>
      <c r="DZ18" s="4">
        <f t="shared" si="8"/>
        <v>109412.9815</v>
      </c>
      <c r="EA18" s="4">
        <f t="shared" si="8"/>
        <v>111601.2411</v>
      </c>
      <c r="EB18" s="4">
        <f t="shared" si="8"/>
        <v>113833.2659</v>
      </c>
      <c r="EC18" s="4">
        <f t="shared" si="8"/>
        <v>116109.9312</v>
      </c>
      <c r="ED18" s="4">
        <f t="shared" si="8"/>
        <v>118432.1299</v>
      </c>
      <c r="EE18" s="4">
        <f t="shared" si="8"/>
        <v>120800.7725</v>
      </c>
      <c r="EF18" s="4">
        <f t="shared" si="8"/>
        <v>123216.7879</v>
      </c>
      <c r="EG18" s="4">
        <f t="shared" si="8"/>
        <v>125681.1237</v>
      </c>
      <c r="EH18" s="4">
        <f t="shared" si="8"/>
        <v>128194.7461</v>
      </c>
      <c r="EI18" s="4">
        <f t="shared" si="8"/>
        <v>130758.6411</v>
      </c>
      <c r="EJ18" s="4">
        <f t="shared" si="8"/>
        <v>133373.8139</v>
      </c>
      <c r="EK18" s="4">
        <f t="shared" si="8"/>
        <v>136041.2902</v>
      </c>
      <c r="EL18" s="4">
        <f t="shared" si="8"/>
        <v>138762.116</v>
      </c>
      <c r="EM18" s="4">
        <f t="shared" si="8"/>
        <v>141537.3583</v>
      </c>
      <c r="EN18" s="4">
        <f t="shared" si="8"/>
        <v>144368.1055</v>
      </c>
      <c r="EO18" s="4">
        <f t="shared" si="8"/>
        <v>147255.4676</v>
      </c>
      <c r="EP18" s="4">
        <f t="shared" si="8"/>
        <v>150200.5769</v>
      </c>
      <c r="EQ18" s="4">
        <f t="shared" si="8"/>
        <v>153204.5884</v>
      </c>
      <c r="ER18" s="4">
        <f t="shared" si="8"/>
        <v>156268.6802</v>
      </c>
      <c r="ES18" s="4">
        <f t="shared" si="8"/>
        <v>159394.0538</v>
      </c>
      <c r="ET18" s="4">
        <f t="shared" si="8"/>
        <v>162581.9349</v>
      </c>
      <c r="EU18" s="4">
        <f t="shared" si="8"/>
        <v>165833.5736</v>
      </c>
      <c r="EV18" s="4">
        <f t="shared" si="8"/>
        <v>169150.2451</v>
      </c>
      <c r="EW18" s="4">
        <f t="shared" si="8"/>
        <v>172533.25</v>
      </c>
      <c r="EX18" s="4">
        <f t="shared" si="8"/>
        <v>175983.915</v>
      </c>
      <c r="EY18" s="4">
        <f t="shared" si="8"/>
        <v>179503.5933</v>
      </c>
      <c r="EZ18" s="4">
        <f t="shared" si="8"/>
        <v>183093.6651</v>
      </c>
      <c r="FA18" s="4">
        <f t="shared" si="8"/>
        <v>186755.5384</v>
      </c>
      <c r="FB18" s="4">
        <f t="shared" si="8"/>
        <v>190490.6492</v>
      </c>
      <c r="FC18" s="4">
        <f t="shared" si="8"/>
        <v>194300.4622</v>
      </c>
      <c r="FD18" s="4">
        <f t="shared" si="8"/>
        <v>198186.4714</v>
      </c>
      <c r="FE18" s="4">
        <f t="shared" si="8"/>
        <v>202150.2009</v>
      </c>
      <c r="FF18" s="4">
        <f t="shared" si="8"/>
        <v>206193.2049</v>
      </c>
      <c r="FG18" s="4">
        <f t="shared" si="8"/>
        <v>210317.069</v>
      </c>
      <c r="FH18" s="4">
        <f t="shared" si="8"/>
        <v>214523.4104</v>
      </c>
      <c r="FI18" s="4">
        <f t="shared" si="8"/>
        <v>218813.8786</v>
      </c>
      <c r="FJ18" s="4">
        <f t="shared" si="8"/>
        <v>223190.1561</v>
      </c>
      <c r="FK18" s="4">
        <f t="shared" si="8"/>
        <v>227653.9593</v>
      </c>
      <c r="FL18" s="4">
        <f t="shared" si="8"/>
        <v>232207.0384</v>
      </c>
      <c r="FM18" s="4">
        <f t="shared" si="8"/>
        <v>236851.1792</v>
      </c>
      <c r="FN18" s="4">
        <f t="shared" si="8"/>
        <v>241588.2028</v>
      </c>
      <c r="FO18" s="4">
        <f t="shared" si="8"/>
        <v>246419.9669</v>
      </c>
      <c r="FP18" s="4">
        <f t="shared" si="8"/>
        <v>251348.3662</v>
      </c>
      <c r="FQ18" s="4">
        <f t="shared" si="8"/>
        <v>256375.3335</v>
      </c>
      <c r="FR18" s="4">
        <f t="shared" si="8"/>
        <v>261502.8402</v>
      </c>
      <c r="FS18" s="4">
        <f t="shared" si="8"/>
        <v>266732.897</v>
      </c>
      <c r="FT18" s="4">
        <f t="shared" si="8"/>
        <v>272067.5549</v>
      </c>
      <c r="FU18" s="4">
        <f t="shared" si="8"/>
        <v>277508.906</v>
      </c>
      <c r="FV18" s="4">
        <f t="shared" si="8"/>
        <v>283059.0841</v>
      </c>
      <c r="FW18" s="4">
        <f t="shared" si="8"/>
        <v>288720.2658</v>
      </c>
      <c r="FX18" s="4">
        <f t="shared" si="8"/>
        <v>294494.6711</v>
      </c>
      <c r="FY18" s="4">
        <f t="shared" si="8"/>
        <v>300384.5646</v>
      </c>
      <c r="FZ18" s="4">
        <f t="shared" si="8"/>
        <v>306392.2559</v>
      </c>
      <c r="GA18" s="4">
        <f t="shared" si="8"/>
        <v>312520.101</v>
      </c>
      <c r="GB18" s="4">
        <f t="shared" si="8"/>
        <v>318770.503</v>
      </c>
      <c r="GC18" s="4">
        <f t="shared" si="8"/>
        <v>325145.9131</v>
      </c>
      <c r="GD18" s="4">
        <f t="shared" si="8"/>
        <v>331648.8313</v>
      </c>
      <c r="GE18" s="4">
        <f t="shared" si="8"/>
        <v>338281.8079</v>
      </c>
      <c r="GF18" s="4">
        <f t="shared" si="8"/>
        <v>345047.4441</v>
      </c>
      <c r="GG18" s="4">
        <f t="shared" si="8"/>
        <v>351948.393</v>
      </c>
      <c r="GH18" s="4">
        <f t="shared" si="8"/>
        <v>358987.3608</v>
      </c>
      <c r="GI18" s="4">
        <f t="shared" si="8"/>
        <v>366167.1081</v>
      </c>
      <c r="GJ18" s="4">
        <f t="shared" si="8"/>
        <v>373490.4502</v>
      </c>
      <c r="GK18" s="4">
        <f t="shared" si="8"/>
        <v>380960.2592</v>
      </c>
      <c r="GL18" s="4">
        <f t="shared" si="8"/>
        <v>388579.4644</v>
      </c>
      <c r="GM18" s="4">
        <f t="shared" si="8"/>
        <v>396351.0537</v>
      </c>
      <c r="GN18" s="4">
        <f t="shared" si="8"/>
        <v>404278.0748</v>
      </c>
      <c r="GO18" s="4">
        <f t="shared" si="8"/>
        <v>412363.6363</v>
      </c>
      <c r="GP18" s="4">
        <f t="shared" si="8"/>
        <v>420610.909</v>
      </c>
      <c r="GQ18" s="4">
        <f t="shared" si="8"/>
        <v>429023.1272</v>
      </c>
      <c r="GR18" s="4">
        <f t="shared" si="8"/>
        <v>437603.5897</v>
      </c>
      <c r="GS18" s="4">
        <f t="shared" si="8"/>
        <v>446355.6615</v>
      </c>
      <c r="GT18" s="4">
        <f t="shared" si="8"/>
        <v>455282.7747</v>
      </c>
      <c r="GU18" s="4">
        <f t="shared" si="8"/>
        <v>464388.4302</v>
      </c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</row>
    <row r="19" ht="12.0" customHeight="1" outlineLevel="1">
      <c r="B19" s="2"/>
      <c r="C19" s="2"/>
      <c r="D19" s="2"/>
      <c r="E19" s="7">
        <f t="shared" ref="E19:GU19" si="9">(E18-D18)/D18</f>
        <v>0.02</v>
      </c>
      <c r="F19" s="7">
        <f t="shared" si="9"/>
        <v>0.02</v>
      </c>
      <c r="G19" s="7">
        <f t="shared" si="9"/>
        <v>0.02</v>
      </c>
      <c r="H19" s="7">
        <f t="shared" si="9"/>
        <v>0.02</v>
      </c>
      <c r="I19" s="7">
        <f t="shared" si="9"/>
        <v>0.02</v>
      </c>
      <c r="J19" s="7">
        <f t="shared" si="9"/>
        <v>0.02</v>
      </c>
      <c r="K19" s="7">
        <f t="shared" si="9"/>
        <v>0.02</v>
      </c>
      <c r="L19" s="7">
        <f t="shared" si="9"/>
        <v>0.02</v>
      </c>
      <c r="M19" s="7">
        <f t="shared" si="9"/>
        <v>0.02</v>
      </c>
      <c r="N19" s="7">
        <f t="shared" si="9"/>
        <v>0.02</v>
      </c>
      <c r="O19" s="7">
        <f t="shared" si="9"/>
        <v>0.02</v>
      </c>
      <c r="P19" s="7">
        <f t="shared" si="9"/>
        <v>0.02</v>
      </c>
      <c r="Q19" s="7">
        <f t="shared" si="9"/>
        <v>0.02</v>
      </c>
      <c r="R19" s="7">
        <f t="shared" si="9"/>
        <v>0.02</v>
      </c>
      <c r="S19" s="7">
        <f t="shared" si="9"/>
        <v>0.02</v>
      </c>
      <c r="T19" s="7">
        <f t="shared" si="9"/>
        <v>0.02</v>
      </c>
      <c r="U19" s="7">
        <f t="shared" si="9"/>
        <v>0.02</v>
      </c>
      <c r="V19" s="7">
        <f t="shared" si="9"/>
        <v>0.02</v>
      </c>
      <c r="W19" s="7">
        <f t="shared" si="9"/>
        <v>0.02</v>
      </c>
      <c r="X19" s="7">
        <f t="shared" si="9"/>
        <v>0.02</v>
      </c>
      <c r="Y19" s="7">
        <f t="shared" si="9"/>
        <v>0.02</v>
      </c>
      <c r="Z19" s="7">
        <f t="shared" si="9"/>
        <v>0.02</v>
      </c>
      <c r="AA19" s="7">
        <f t="shared" si="9"/>
        <v>0.02</v>
      </c>
      <c r="AB19" s="7">
        <f t="shared" si="9"/>
        <v>0.02</v>
      </c>
      <c r="AC19" s="7">
        <f t="shared" si="9"/>
        <v>0.02</v>
      </c>
      <c r="AD19" s="7">
        <f t="shared" si="9"/>
        <v>0.02</v>
      </c>
      <c r="AE19" s="7">
        <f t="shared" si="9"/>
        <v>0.02</v>
      </c>
      <c r="AF19" s="7">
        <f t="shared" si="9"/>
        <v>0.02</v>
      </c>
      <c r="AG19" s="7">
        <f t="shared" si="9"/>
        <v>0.02</v>
      </c>
      <c r="AH19" s="7">
        <f t="shared" si="9"/>
        <v>0.02</v>
      </c>
      <c r="AI19" s="7">
        <f t="shared" si="9"/>
        <v>0.02</v>
      </c>
      <c r="AJ19" s="7">
        <f t="shared" si="9"/>
        <v>0.02</v>
      </c>
      <c r="AK19" s="7">
        <f t="shared" si="9"/>
        <v>0.02</v>
      </c>
      <c r="AL19" s="7">
        <f t="shared" si="9"/>
        <v>0.02</v>
      </c>
      <c r="AM19" s="7">
        <f t="shared" si="9"/>
        <v>0.02</v>
      </c>
      <c r="AN19" s="7">
        <f t="shared" si="9"/>
        <v>0.02</v>
      </c>
      <c r="AO19" s="7">
        <f t="shared" si="9"/>
        <v>0.02</v>
      </c>
      <c r="AP19" s="7">
        <f t="shared" si="9"/>
        <v>0.02</v>
      </c>
      <c r="AQ19" s="7">
        <f t="shared" si="9"/>
        <v>0.02</v>
      </c>
      <c r="AR19" s="7">
        <f t="shared" si="9"/>
        <v>0.02</v>
      </c>
      <c r="AS19" s="7">
        <f t="shared" si="9"/>
        <v>0.02</v>
      </c>
      <c r="AT19" s="7">
        <f t="shared" si="9"/>
        <v>0.02</v>
      </c>
      <c r="AU19" s="7">
        <f t="shared" si="9"/>
        <v>0.02</v>
      </c>
      <c r="AV19" s="7">
        <f t="shared" si="9"/>
        <v>0.02</v>
      </c>
      <c r="AW19" s="7">
        <f t="shared" si="9"/>
        <v>0.02</v>
      </c>
      <c r="AX19" s="7">
        <f t="shared" si="9"/>
        <v>0.02</v>
      </c>
      <c r="AY19" s="7">
        <f t="shared" si="9"/>
        <v>0.02</v>
      </c>
      <c r="AZ19" s="7">
        <f t="shared" si="9"/>
        <v>0.02</v>
      </c>
      <c r="BA19" s="7">
        <f t="shared" si="9"/>
        <v>0.02</v>
      </c>
      <c r="BB19" s="7">
        <f t="shared" si="9"/>
        <v>0.02</v>
      </c>
      <c r="BC19" s="7">
        <f t="shared" si="9"/>
        <v>0.02</v>
      </c>
      <c r="BD19" s="7">
        <f t="shared" si="9"/>
        <v>0.02</v>
      </c>
      <c r="BE19" s="7">
        <f t="shared" si="9"/>
        <v>0.02</v>
      </c>
      <c r="BF19" s="7">
        <f t="shared" si="9"/>
        <v>0.02</v>
      </c>
      <c r="BG19" s="7">
        <f t="shared" si="9"/>
        <v>0.02</v>
      </c>
      <c r="BH19" s="7">
        <f t="shared" si="9"/>
        <v>0.02</v>
      </c>
      <c r="BI19" s="7">
        <f t="shared" si="9"/>
        <v>0.02</v>
      </c>
      <c r="BJ19" s="7">
        <f t="shared" si="9"/>
        <v>0.02</v>
      </c>
      <c r="BK19" s="7">
        <f t="shared" si="9"/>
        <v>0.02</v>
      </c>
      <c r="BL19" s="7">
        <f t="shared" si="9"/>
        <v>0.02</v>
      </c>
      <c r="BM19" s="7">
        <f t="shared" si="9"/>
        <v>0.02</v>
      </c>
      <c r="BN19" s="7">
        <f t="shared" si="9"/>
        <v>0.02</v>
      </c>
      <c r="BO19" s="7">
        <f t="shared" si="9"/>
        <v>0.02</v>
      </c>
      <c r="BP19" s="7">
        <f t="shared" si="9"/>
        <v>0.02</v>
      </c>
      <c r="BQ19" s="7">
        <f t="shared" si="9"/>
        <v>0.02</v>
      </c>
      <c r="BR19" s="7">
        <f t="shared" si="9"/>
        <v>0.02</v>
      </c>
      <c r="BS19" s="7">
        <f t="shared" si="9"/>
        <v>0.02</v>
      </c>
      <c r="BT19" s="7">
        <f t="shared" si="9"/>
        <v>0.02</v>
      </c>
      <c r="BU19" s="7">
        <f t="shared" si="9"/>
        <v>0.02</v>
      </c>
      <c r="BV19" s="7">
        <f t="shared" si="9"/>
        <v>0.02</v>
      </c>
      <c r="BW19" s="7">
        <f t="shared" si="9"/>
        <v>0.02</v>
      </c>
      <c r="BX19" s="7">
        <f t="shared" si="9"/>
        <v>0.02</v>
      </c>
      <c r="BY19" s="7">
        <f t="shared" si="9"/>
        <v>0.02</v>
      </c>
      <c r="BZ19" s="7">
        <f t="shared" si="9"/>
        <v>0.02</v>
      </c>
      <c r="CA19" s="7">
        <f t="shared" si="9"/>
        <v>0.02</v>
      </c>
      <c r="CB19" s="7">
        <f t="shared" si="9"/>
        <v>0.02</v>
      </c>
      <c r="CC19" s="7">
        <f t="shared" si="9"/>
        <v>0.02</v>
      </c>
      <c r="CD19" s="7">
        <f t="shared" si="9"/>
        <v>0.02</v>
      </c>
      <c r="CE19" s="7">
        <f t="shared" si="9"/>
        <v>0.02</v>
      </c>
      <c r="CF19" s="7">
        <f t="shared" si="9"/>
        <v>0.02</v>
      </c>
      <c r="CG19" s="7">
        <f t="shared" si="9"/>
        <v>0.02</v>
      </c>
      <c r="CH19" s="7">
        <f t="shared" si="9"/>
        <v>0.02</v>
      </c>
      <c r="CI19" s="7">
        <f t="shared" si="9"/>
        <v>0.02</v>
      </c>
      <c r="CJ19" s="7">
        <f t="shared" si="9"/>
        <v>0.02</v>
      </c>
      <c r="CK19" s="7">
        <f t="shared" si="9"/>
        <v>0.02</v>
      </c>
      <c r="CL19" s="7">
        <f t="shared" si="9"/>
        <v>0.02</v>
      </c>
      <c r="CM19" s="7">
        <f t="shared" si="9"/>
        <v>0.02</v>
      </c>
      <c r="CN19" s="7">
        <f t="shared" si="9"/>
        <v>0.02</v>
      </c>
      <c r="CO19" s="7">
        <f t="shared" si="9"/>
        <v>0.02</v>
      </c>
      <c r="CP19" s="7">
        <f t="shared" si="9"/>
        <v>0.02</v>
      </c>
      <c r="CQ19" s="7">
        <f t="shared" si="9"/>
        <v>0.02</v>
      </c>
      <c r="CR19" s="7">
        <f t="shared" si="9"/>
        <v>0.02</v>
      </c>
      <c r="CS19" s="7">
        <f t="shared" si="9"/>
        <v>0.02</v>
      </c>
      <c r="CT19" s="7">
        <f t="shared" si="9"/>
        <v>0.02</v>
      </c>
      <c r="CU19" s="7">
        <f t="shared" si="9"/>
        <v>0.02</v>
      </c>
      <c r="CV19" s="7">
        <f t="shared" si="9"/>
        <v>0.02</v>
      </c>
      <c r="CW19" s="7">
        <f t="shared" si="9"/>
        <v>0.02</v>
      </c>
      <c r="CX19" s="7">
        <f t="shared" si="9"/>
        <v>0.02</v>
      </c>
      <c r="CY19" s="7">
        <f t="shared" si="9"/>
        <v>0.02</v>
      </c>
      <c r="CZ19" s="7">
        <f t="shared" si="9"/>
        <v>0.02</v>
      </c>
      <c r="DA19" s="7">
        <f t="shared" si="9"/>
        <v>0.02</v>
      </c>
      <c r="DB19" s="7">
        <f t="shared" si="9"/>
        <v>0.02</v>
      </c>
      <c r="DC19" s="7">
        <f t="shared" si="9"/>
        <v>0.02</v>
      </c>
      <c r="DD19" s="7">
        <f t="shared" si="9"/>
        <v>0.02</v>
      </c>
      <c r="DE19" s="7">
        <f t="shared" si="9"/>
        <v>0.02</v>
      </c>
      <c r="DF19" s="7">
        <f t="shared" si="9"/>
        <v>0.02</v>
      </c>
      <c r="DG19" s="7">
        <f t="shared" si="9"/>
        <v>0.02</v>
      </c>
      <c r="DH19" s="7">
        <f t="shared" si="9"/>
        <v>0.02</v>
      </c>
      <c r="DI19" s="7">
        <f t="shared" si="9"/>
        <v>0.02</v>
      </c>
      <c r="DJ19" s="7">
        <f t="shared" si="9"/>
        <v>0.02</v>
      </c>
      <c r="DK19" s="7">
        <f t="shared" si="9"/>
        <v>0.02</v>
      </c>
      <c r="DL19" s="7">
        <f t="shared" si="9"/>
        <v>0.02</v>
      </c>
      <c r="DM19" s="7">
        <f t="shared" si="9"/>
        <v>0.02</v>
      </c>
      <c r="DN19" s="7">
        <f t="shared" si="9"/>
        <v>0.02</v>
      </c>
      <c r="DO19" s="7">
        <f t="shared" si="9"/>
        <v>0.02</v>
      </c>
      <c r="DP19" s="7">
        <f t="shared" si="9"/>
        <v>0.02</v>
      </c>
      <c r="DQ19" s="7">
        <f t="shared" si="9"/>
        <v>0.02</v>
      </c>
      <c r="DR19" s="7">
        <f t="shared" si="9"/>
        <v>0.02</v>
      </c>
      <c r="DS19" s="7">
        <f t="shared" si="9"/>
        <v>0.02</v>
      </c>
      <c r="DT19" s="7">
        <f t="shared" si="9"/>
        <v>0.02</v>
      </c>
      <c r="DU19" s="7">
        <f t="shared" si="9"/>
        <v>0.02</v>
      </c>
      <c r="DV19" s="7">
        <f t="shared" si="9"/>
        <v>0.02</v>
      </c>
      <c r="DW19" s="7">
        <f t="shared" si="9"/>
        <v>0.02</v>
      </c>
      <c r="DX19" s="7">
        <f t="shared" si="9"/>
        <v>0.02</v>
      </c>
      <c r="DY19" s="7">
        <f t="shared" si="9"/>
        <v>0.02</v>
      </c>
      <c r="DZ19" s="7">
        <f t="shared" si="9"/>
        <v>0.02</v>
      </c>
      <c r="EA19" s="7">
        <f t="shared" si="9"/>
        <v>0.02</v>
      </c>
      <c r="EB19" s="7">
        <f t="shared" si="9"/>
        <v>0.02</v>
      </c>
      <c r="EC19" s="7">
        <f t="shared" si="9"/>
        <v>0.02</v>
      </c>
      <c r="ED19" s="7">
        <f t="shared" si="9"/>
        <v>0.02</v>
      </c>
      <c r="EE19" s="7">
        <f t="shared" si="9"/>
        <v>0.02</v>
      </c>
      <c r="EF19" s="7">
        <f t="shared" si="9"/>
        <v>0.02</v>
      </c>
      <c r="EG19" s="7">
        <f t="shared" si="9"/>
        <v>0.02</v>
      </c>
      <c r="EH19" s="7">
        <f t="shared" si="9"/>
        <v>0.02</v>
      </c>
      <c r="EI19" s="7">
        <f t="shared" si="9"/>
        <v>0.02</v>
      </c>
      <c r="EJ19" s="7">
        <f t="shared" si="9"/>
        <v>0.02</v>
      </c>
      <c r="EK19" s="7">
        <f t="shared" si="9"/>
        <v>0.02</v>
      </c>
      <c r="EL19" s="7">
        <f t="shared" si="9"/>
        <v>0.02</v>
      </c>
      <c r="EM19" s="7">
        <f t="shared" si="9"/>
        <v>0.02</v>
      </c>
      <c r="EN19" s="7">
        <f t="shared" si="9"/>
        <v>0.02</v>
      </c>
      <c r="EO19" s="7">
        <f t="shared" si="9"/>
        <v>0.02</v>
      </c>
      <c r="EP19" s="7">
        <f t="shared" si="9"/>
        <v>0.02</v>
      </c>
      <c r="EQ19" s="7">
        <f t="shared" si="9"/>
        <v>0.02</v>
      </c>
      <c r="ER19" s="7">
        <f t="shared" si="9"/>
        <v>0.02</v>
      </c>
      <c r="ES19" s="7">
        <f t="shared" si="9"/>
        <v>0.02</v>
      </c>
      <c r="ET19" s="7">
        <f t="shared" si="9"/>
        <v>0.02</v>
      </c>
      <c r="EU19" s="7">
        <f t="shared" si="9"/>
        <v>0.02</v>
      </c>
      <c r="EV19" s="7">
        <f t="shared" si="9"/>
        <v>0.02</v>
      </c>
      <c r="EW19" s="7">
        <f t="shared" si="9"/>
        <v>0.02</v>
      </c>
      <c r="EX19" s="7">
        <f t="shared" si="9"/>
        <v>0.02</v>
      </c>
      <c r="EY19" s="7">
        <f t="shared" si="9"/>
        <v>0.02</v>
      </c>
      <c r="EZ19" s="7">
        <f t="shared" si="9"/>
        <v>0.02</v>
      </c>
      <c r="FA19" s="7">
        <f t="shared" si="9"/>
        <v>0.02</v>
      </c>
      <c r="FB19" s="7">
        <f t="shared" si="9"/>
        <v>0.02</v>
      </c>
      <c r="FC19" s="7">
        <f t="shared" si="9"/>
        <v>0.02</v>
      </c>
      <c r="FD19" s="7">
        <f t="shared" si="9"/>
        <v>0.02</v>
      </c>
      <c r="FE19" s="7">
        <f t="shared" si="9"/>
        <v>0.02</v>
      </c>
      <c r="FF19" s="7">
        <f t="shared" si="9"/>
        <v>0.02</v>
      </c>
      <c r="FG19" s="7">
        <f t="shared" si="9"/>
        <v>0.02</v>
      </c>
      <c r="FH19" s="7">
        <f t="shared" si="9"/>
        <v>0.02</v>
      </c>
      <c r="FI19" s="7">
        <f t="shared" si="9"/>
        <v>0.02</v>
      </c>
      <c r="FJ19" s="7">
        <f t="shared" si="9"/>
        <v>0.02</v>
      </c>
      <c r="FK19" s="7">
        <f t="shared" si="9"/>
        <v>0.02</v>
      </c>
      <c r="FL19" s="7">
        <f t="shared" si="9"/>
        <v>0.02</v>
      </c>
      <c r="FM19" s="7">
        <f t="shared" si="9"/>
        <v>0.02</v>
      </c>
      <c r="FN19" s="7">
        <f t="shared" si="9"/>
        <v>0.02</v>
      </c>
      <c r="FO19" s="7">
        <f t="shared" si="9"/>
        <v>0.02</v>
      </c>
      <c r="FP19" s="7">
        <f t="shared" si="9"/>
        <v>0.02</v>
      </c>
      <c r="FQ19" s="7">
        <f t="shared" si="9"/>
        <v>0.02</v>
      </c>
      <c r="FR19" s="7">
        <f t="shared" si="9"/>
        <v>0.02</v>
      </c>
      <c r="FS19" s="7">
        <f t="shared" si="9"/>
        <v>0.02</v>
      </c>
      <c r="FT19" s="7">
        <f t="shared" si="9"/>
        <v>0.02</v>
      </c>
      <c r="FU19" s="7">
        <f t="shared" si="9"/>
        <v>0.02</v>
      </c>
      <c r="FV19" s="7">
        <f t="shared" si="9"/>
        <v>0.02</v>
      </c>
      <c r="FW19" s="7">
        <f t="shared" si="9"/>
        <v>0.02</v>
      </c>
      <c r="FX19" s="7">
        <f t="shared" si="9"/>
        <v>0.02</v>
      </c>
      <c r="FY19" s="7">
        <f t="shared" si="9"/>
        <v>0.02</v>
      </c>
      <c r="FZ19" s="7">
        <f t="shared" si="9"/>
        <v>0.02</v>
      </c>
      <c r="GA19" s="7">
        <f t="shared" si="9"/>
        <v>0.02</v>
      </c>
      <c r="GB19" s="7">
        <f t="shared" si="9"/>
        <v>0.02</v>
      </c>
      <c r="GC19" s="7">
        <f t="shared" si="9"/>
        <v>0.02</v>
      </c>
      <c r="GD19" s="7">
        <f t="shared" si="9"/>
        <v>0.02</v>
      </c>
      <c r="GE19" s="7">
        <f t="shared" si="9"/>
        <v>0.02</v>
      </c>
      <c r="GF19" s="7">
        <f t="shared" si="9"/>
        <v>0.02</v>
      </c>
      <c r="GG19" s="7">
        <f t="shared" si="9"/>
        <v>0.02</v>
      </c>
      <c r="GH19" s="7">
        <f t="shared" si="9"/>
        <v>0.02</v>
      </c>
      <c r="GI19" s="7">
        <f t="shared" si="9"/>
        <v>0.02</v>
      </c>
      <c r="GJ19" s="7">
        <f t="shared" si="9"/>
        <v>0.02</v>
      </c>
      <c r="GK19" s="7">
        <f t="shared" si="9"/>
        <v>0.02</v>
      </c>
      <c r="GL19" s="7">
        <f t="shared" si="9"/>
        <v>0.02</v>
      </c>
      <c r="GM19" s="7">
        <f t="shared" si="9"/>
        <v>0.02</v>
      </c>
      <c r="GN19" s="7">
        <f t="shared" si="9"/>
        <v>0.02</v>
      </c>
      <c r="GO19" s="7">
        <f t="shared" si="9"/>
        <v>0.02</v>
      </c>
      <c r="GP19" s="7">
        <f t="shared" si="9"/>
        <v>0.02</v>
      </c>
      <c r="GQ19" s="7">
        <f t="shared" si="9"/>
        <v>0.02</v>
      </c>
      <c r="GR19" s="7">
        <f t="shared" si="9"/>
        <v>0.02</v>
      </c>
      <c r="GS19" s="7">
        <f t="shared" si="9"/>
        <v>0.02</v>
      </c>
      <c r="GT19" s="7">
        <f t="shared" si="9"/>
        <v>0.02</v>
      </c>
      <c r="GU19" s="7">
        <f t="shared" si="9"/>
        <v>0.02</v>
      </c>
    </row>
    <row r="20" ht="12.0" customHeight="1" outlineLevel="1">
      <c r="B20" s="13" t="s">
        <v>25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2.0" customHeight="1" outlineLevel="1">
      <c r="B21" s="2" t="s">
        <v>16</v>
      </c>
      <c r="C21" s="4">
        <f>D13</f>
        <v>9025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2.0" customHeight="1" outlineLevel="1">
      <c r="B22" s="14" t="s">
        <v>26</v>
      </c>
      <c r="C22" s="8">
        <f>H5-H4</f>
        <v>0.06</v>
      </c>
      <c r="D22" s="2" t="s">
        <v>27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2.0" customHeight="1" outlineLevel="1">
      <c r="B23" s="14" t="s">
        <v>28</v>
      </c>
      <c r="C23" s="4">
        <f>C21/C22</f>
        <v>150416.6667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2.0" customHeight="1" outlineLevel="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2.0" customHeight="1" outlineLevel="1">
      <c r="B25" s="13" t="s">
        <v>29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2.0" customHeight="1" outlineLevel="1">
      <c r="B26" s="2" t="s">
        <v>31</v>
      </c>
      <c r="C26" s="8">
        <f>H5</f>
        <v>0.08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</row>
    <row r="27" ht="12.0" customHeight="1" outlineLevel="1">
      <c r="B27" s="2" t="s">
        <v>32</v>
      </c>
      <c r="C27" s="4">
        <f t="array" ref="C27">NPV(C26,D18:GU18)</f>
        <v>150415.0352</v>
      </c>
      <c r="D27" s="2" t="s">
        <v>98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2.0" customHeight="1" outlineLevel="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2.0" customHeight="1">
      <c r="B29" s="2"/>
      <c r="C29" s="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5"/>
    <col customWidth="1" min="2" max="2" width="24.13"/>
    <col customWidth="1" min="3" max="3" width="10.13"/>
    <col customWidth="1" min="4" max="5" width="9.13"/>
    <col customWidth="1" min="6" max="6" width="7.88"/>
    <col customWidth="1" min="7" max="7" width="12.88"/>
    <col customWidth="1" min="8" max="8" width="11.13"/>
    <col customWidth="1" min="9" max="9" width="17.25"/>
    <col customWidth="1" min="10" max="10" width="2.13"/>
    <col customWidth="1" min="11" max="11" width="14.5"/>
    <col customWidth="1" min="12" max="12" width="16.88"/>
    <col customWidth="1" min="13" max="26" width="9.13"/>
  </cols>
  <sheetData>
    <row r="1" ht="12.0" customHeight="1">
      <c r="B1" s="46" t="s">
        <v>99</v>
      </c>
    </row>
    <row r="2" ht="12.0" customHeight="1">
      <c r="E2" s="47" t="s">
        <v>100</v>
      </c>
      <c r="F2" s="16"/>
      <c r="G2" s="17"/>
    </row>
    <row r="3" ht="12.0" customHeight="1">
      <c r="E3" s="48" t="s">
        <v>101</v>
      </c>
      <c r="F3" s="2"/>
      <c r="G3" s="49" t="s">
        <v>11</v>
      </c>
    </row>
    <row r="4" ht="12.0" customHeight="1">
      <c r="E4" s="50">
        <v>10000.0</v>
      </c>
      <c r="F4" s="2"/>
      <c r="G4" s="21" t="s">
        <v>12</v>
      </c>
      <c r="K4" s="3" t="s">
        <v>102</v>
      </c>
    </row>
    <row r="5" ht="12.0" customHeight="1">
      <c r="E5" s="51">
        <f>-E4*F5</f>
        <v>-500</v>
      </c>
      <c r="F5" s="8">
        <v>0.05</v>
      </c>
      <c r="G5" s="52" t="s">
        <v>13</v>
      </c>
      <c r="K5" s="53">
        <v>1.0</v>
      </c>
      <c r="L5" s="2" t="s">
        <v>39</v>
      </c>
    </row>
    <row r="6" ht="12.0" customHeight="1">
      <c r="E6" s="54">
        <f>SUM(E4:E5)</f>
        <v>9500</v>
      </c>
      <c r="F6" s="2"/>
      <c r="G6" s="21" t="s">
        <v>14</v>
      </c>
      <c r="K6" s="55">
        <v>0.05</v>
      </c>
      <c r="L6" s="3" t="s">
        <v>40</v>
      </c>
    </row>
    <row r="7" ht="12.0" customHeight="1">
      <c r="E7" s="51">
        <f>-E6*F7</f>
        <v>-475</v>
      </c>
      <c r="F7" s="8">
        <v>0.05</v>
      </c>
      <c r="G7" s="49" t="s">
        <v>15</v>
      </c>
      <c r="K7" s="56">
        <v>25.0</v>
      </c>
      <c r="L7" s="2" t="s">
        <v>41</v>
      </c>
    </row>
    <row r="8" ht="12.0" customHeight="1">
      <c r="E8" s="54">
        <f>SUM(E6:E7)</f>
        <v>9025</v>
      </c>
      <c r="F8" s="2"/>
      <c r="G8" s="21" t="s">
        <v>16</v>
      </c>
    </row>
    <row r="9" ht="12.0" customHeight="1">
      <c r="E9" s="51">
        <f>-E8*F9</f>
        <v>0</v>
      </c>
      <c r="F9" s="8">
        <v>0.0</v>
      </c>
      <c r="G9" s="52" t="s">
        <v>17</v>
      </c>
      <c r="K9" s="3" t="s">
        <v>103</v>
      </c>
    </row>
    <row r="10" ht="12.0" customHeight="1">
      <c r="E10" s="57">
        <f>SUM(E8:E9)</f>
        <v>9025</v>
      </c>
      <c r="F10" s="25"/>
      <c r="G10" s="26" t="s">
        <v>18</v>
      </c>
      <c r="K10" s="3">
        <f>K7*12</f>
        <v>300</v>
      </c>
      <c r="L10" s="3" t="s">
        <v>46</v>
      </c>
    </row>
    <row r="11" ht="12.0" customHeight="1">
      <c r="K11" s="31">
        <f>K6/12</f>
        <v>0.004166666667</v>
      </c>
      <c r="L11" s="3" t="s">
        <v>47</v>
      </c>
    </row>
    <row r="12" ht="12.0" customHeight="1">
      <c r="B12" s="47" t="s">
        <v>104</v>
      </c>
      <c r="C12" s="17"/>
      <c r="H12" s="47" t="s">
        <v>105</v>
      </c>
      <c r="I12" s="17"/>
      <c r="K12" s="30">
        <f>K5</f>
        <v>1</v>
      </c>
      <c r="L12" s="3" t="s">
        <v>48</v>
      </c>
    </row>
    <row r="13" ht="12.0" customHeight="1">
      <c r="B13" s="19" t="s">
        <v>67</v>
      </c>
      <c r="C13" s="20">
        <f>E10-H13</f>
        <v>1967.276747</v>
      </c>
      <c r="E13" s="58">
        <f>'Debt-Equity'!L7</f>
        <v>1.278740987</v>
      </c>
      <c r="F13" s="3" t="s">
        <v>63</v>
      </c>
      <c r="H13" s="54">
        <f>E10/E13</f>
        <v>7057.723253</v>
      </c>
      <c r="I13" s="21" t="s">
        <v>80</v>
      </c>
      <c r="K13" s="59">
        <f>PMT(K11,K10,K12,K14)</f>
        <v>-0.005845900415</v>
      </c>
      <c r="L13" s="3" t="s">
        <v>49</v>
      </c>
    </row>
    <row r="14" ht="12.0" customHeight="1">
      <c r="B14" s="19"/>
      <c r="C14" s="21"/>
      <c r="H14" s="19"/>
      <c r="I14" s="21"/>
      <c r="K14" s="30">
        <v>0.0</v>
      </c>
      <c r="L14" s="3" t="s">
        <v>50</v>
      </c>
    </row>
    <row r="15" ht="12.0" customHeight="1">
      <c r="B15" s="19" t="s">
        <v>106</v>
      </c>
      <c r="C15" s="60">
        <f>'Debt-Equity'!D48</f>
        <v>0.04562577747</v>
      </c>
      <c r="E15" s="61">
        <f>E10/E20</f>
        <v>0.06279329673</v>
      </c>
      <c r="F15" s="3" t="s">
        <v>107</v>
      </c>
      <c r="H15" s="62">
        <f>K15</f>
        <v>0.07015080498</v>
      </c>
      <c r="I15" s="21" t="s">
        <v>54</v>
      </c>
      <c r="K15" s="63">
        <f>(-K13*12)/K5</f>
        <v>0.07015080498</v>
      </c>
      <c r="L15" s="3" t="s">
        <v>54</v>
      </c>
    </row>
    <row r="16" ht="12.0" customHeight="1">
      <c r="B16" s="19"/>
      <c r="C16" s="21"/>
      <c r="H16" s="19"/>
      <c r="I16" s="21"/>
      <c r="K16" s="2"/>
    </row>
    <row r="17" ht="12.0" customHeight="1">
      <c r="B17" s="23" t="s">
        <v>71</v>
      </c>
      <c r="C17" s="64">
        <f>C13/C15</f>
        <v>43117.6597</v>
      </c>
      <c r="E17" s="55">
        <v>0.7</v>
      </c>
      <c r="F17" s="3" t="s">
        <v>108</v>
      </c>
      <c r="H17" s="57">
        <f>H13/H15</f>
        <v>100607.8726</v>
      </c>
      <c r="I17" s="26" t="s">
        <v>39</v>
      </c>
    </row>
    <row r="18" ht="12.0" customHeight="1"/>
    <row r="19" ht="12.0" customHeight="1">
      <c r="E19" s="47" t="s">
        <v>109</v>
      </c>
      <c r="F19" s="16"/>
      <c r="G19" s="16"/>
      <c r="H19" s="17"/>
    </row>
    <row r="20" ht="12.0" customHeight="1">
      <c r="E20" s="54">
        <f>H17/E17</f>
        <v>143725.5323</v>
      </c>
      <c r="F20" s="2" t="s">
        <v>110</v>
      </c>
      <c r="G20" s="2"/>
      <c r="H20" s="21"/>
    </row>
    <row r="21" ht="12.0" customHeight="1">
      <c r="E21" s="54"/>
      <c r="F21" s="2"/>
      <c r="G21" s="2"/>
      <c r="H21" s="21"/>
    </row>
    <row r="22" ht="12.0" customHeight="1">
      <c r="E22" s="50">
        <v>110000.0</v>
      </c>
      <c r="F22" s="2" t="s">
        <v>111</v>
      </c>
      <c r="G22" s="2"/>
      <c r="H22" s="21"/>
    </row>
    <row r="23" ht="12.0" customHeight="1">
      <c r="E23" s="57">
        <f>E20-E22</f>
        <v>33725.53234</v>
      </c>
      <c r="F23" s="25" t="s">
        <v>112</v>
      </c>
      <c r="G23" s="25"/>
      <c r="H23" s="26"/>
    </row>
    <row r="24" ht="12.0" customHeight="1"/>
    <row r="25" ht="12.0" customHeight="1">
      <c r="B25" s="1" t="s">
        <v>113</v>
      </c>
    </row>
    <row r="26" ht="12.0" customHeight="1">
      <c r="E26" s="3" t="s">
        <v>114</v>
      </c>
      <c r="F26" s="3" t="s">
        <v>115</v>
      </c>
    </row>
    <row r="27" ht="12.0" customHeight="1">
      <c r="D27" s="3" t="s">
        <v>93</v>
      </c>
      <c r="E27" s="8">
        <f>E17</f>
        <v>0.7</v>
      </c>
      <c r="F27" s="65">
        <f>H15</f>
        <v>0.07015080498</v>
      </c>
      <c r="G27" s="8">
        <f t="shared" ref="G27:G28" si="1">E27*F27</f>
        <v>0.04910556349</v>
      </c>
    </row>
    <row r="28" ht="12.0" customHeight="1">
      <c r="D28" s="3" t="s">
        <v>94</v>
      </c>
      <c r="E28" s="8">
        <f>1-E27</f>
        <v>0.3</v>
      </c>
      <c r="F28" s="65">
        <f>C15</f>
        <v>0.04562577747</v>
      </c>
      <c r="G28" s="8">
        <f t="shared" si="1"/>
        <v>0.01368773324</v>
      </c>
    </row>
    <row r="29" ht="12.0" customHeight="1">
      <c r="G29" s="61">
        <f>G27+G28</f>
        <v>0.06279329673</v>
      </c>
    </row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1999-07-15T10:38:01Z</dcterms:created>
  <dc:creator>Joe Walsh</dc:creator>
</cp:coreProperties>
</file>