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jluque\RE410\Topic 9 - Debt, leverage and risk\"/>
    </mc:Choice>
  </mc:AlternateContent>
  <bookViews>
    <workbookView xWindow="360" yWindow="60" windowWidth="14235" windowHeight="7935"/>
  </bookViews>
  <sheets>
    <sheet name="2 Leverage" sheetId="5" r:id="rId1"/>
  </sheets>
  <calcPr calcId="152511"/>
</workbook>
</file>

<file path=xl/calcChain.xml><?xml version="1.0" encoding="utf-8"?>
<calcChain xmlns="http://schemas.openxmlformats.org/spreadsheetml/2006/main">
  <c r="O31" i="5" l="1"/>
  <c r="P31" i="5" s="1"/>
  <c r="Q31" i="5" s="1"/>
  <c r="R31" i="5" s="1"/>
  <c r="S31" i="5" s="1"/>
  <c r="M33" i="5"/>
  <c r="M34" i="5" s="1"/>
  <c r="M35" i="5" s="1"/>
  <c r="M36" i="5" s="1"/>
  <c r="M37" i="5" s="1"/>
  <c r="M38" i="5" s="1"/>
  <c r="M39" i="5" s="1"/>
  <c r="B27" i="5" l="1"/>
  <c r="D18" i="5"/>
  <c r="G16" i="5"/>
  <c r="C33" i="5" l="1"/>
  <c r="C34" i="5" s="1"/>
  <c r="C35" i="5" s="1"/>
  <c r="C36" i="5" s="1"/>
  <c r="C37" i="5" s="1"/>
  <c r="C38" i="5" s="1"/>
  <c r="C39" i="5" s="1"/>
  <c r="E31" i="5"/>
  <c r="F31" i="5" s="1"/>
  <c r="G31" i="5" s="1"/>
  <c r="H31" i="5" s="1"/>
  <c r="I31" i="5" s="1"/>
  <c r="D19" i="5"/>
  <c r="E18" i="5" l="1"/>
  <c r="E16" i="5" l="1"/>
  <c r="K15" i="5"/>
  <c r="D14" i="5"/>
  <c r="E14" i="5" l="1"/>
  <c r="E15" i="5"/>
  <c r="D16" i="5"/>
  <c r="H16" i="5"/>
  <c r="B23" i="5"/>
  <c r="K14" i="5"/>
  <c r="E7" i="5" l="1"/>
  <c r="E10" i="5" l="1"/>
  <c r="E11" i="5" s="1"/>
  <c r="H15" i="5" s="1"/>
  <c r="L15" i="5" l="1"/>
  <c r="G15" i="5"/>
  <c r="G14" i="5" s="1"/>
  <c r="H14" i="5" s="1"/>
  <c r="M31" i="5" s="1"/>
  <c r="M15" i="5" l="1"/>
  <c r="B24" i="5"/>
  <c r="B25" i="5" s="1"/>
  <c r="B21" i="5"/>
  <c r="L14" i="5"/>
  <c r="M14" i="5"/>
  <c r="C31" i="5"/>
  <c r="M16" i="5" l="1"/>
</calcChain>
</file>

<file path=xl/sharedStrings.xml><?xml version="1.0" encoding="utf-8"?>
<sst xmlns="http://schemas.openxmlformats.org/spreadsheetml/2006/main" count="47" uniqueCount="42">
  <si>
    <t>a)</t>
  </si>
  <si>
    <t>b)</t>
  </si>
  <si>
    <t>Capital Structure</t>
  </si>
  <si>
    <t>Cash Flow</t>
  </si>
  <si>
    <t>Return</t>
  </si>
  <si>
    <t>Term</t>
  </si>
  <si>
    <t>Weight</t>
  </si>
  <si>
    <t>Equity</t>
  </si>
  <si>
    <t>Eq Div Rate</t>
  </si>
  <si>
    <t>1st Mtg Debt</t>
  </si>
  <si>
    <t>Total Capital</t>
  </si>
  <si>
    <t>Cap Rate</t>
  </si>
  <si>
    <t>First Mortgage</t>
  </si>
  <si>
    <t>Loan Amount</t>
  </si>
  <si>
    <t>Interest Rate</t>
  </si>
  <si>
    <t>Cap Rate = (Eq Div Rate)*(1-LTV) + (Mtg Const)*LTV</t>
  </si>
  <si>
    <t>Amortization</t>
  </si>
  <si>
    <t xml:space="preserve"> Annual Debt Service</t>
  </si>
  <si>
    <t>NOI</t>
  </si>
  <si>
    <t>MC</t>
  </si>
  <si>
    <t>Price</t>
  </si>
  <si>
    <t>DEBT, LEVERAGE AND RISK</t>
  </si>
  <si>
    <t>Purchase Price</t>
  </si>
  <si>
    <t>Monthly Payment</t>
  </si>
  <si>
    <t>Band of Investment Formula</t>
  </si>
  <si>
    <t>c)&amp;d)</t>
  </si>
  <si>
    <t>Throttle</t>
  </si>
  <si>
    <t>e)</t>
  </si>
  <si>
    <t>LTV</t>
  </si>
  <si>
    <t>(Use Goal Seek)</t>
  </si>
  <si>
    <t>NOI Throttle</t>
  </si>
  <si>
    <t>Loan to Value Ratio</t>
  </si>
  <si>
    <t>f)</t>
  </si>
  <si>
    <t>WACC</t>
  </si>
  <si>
    <t>Price=NOI/MC</t>
  </si>
  <si>
    <t>Equity Dividend Rate</t>
  </si>
  <si>
    <t>Mtg Constant (MC)</t>
  </si>
  <si>
    <t>To generate the Data Table:</t>
  </si>
  <si>
    <t>1. Enter EDR (cell H14) in the upper-left corner of the table</t>
  </si>
  <si>
    <t>2. Enter the different values for NOI Throttle and LTV in the first column and row, respectively</t>
  </si>
  <si>
    <t>4. Choose the specific cells that generate the EDR of 18%</t>
  </si>
  <si>
    <t>3. Go to "Data", and then to "What-if Analysis", and then choose "Data Table"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</si>
</sst>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0.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37">
    <xf numFmtId="0" fontId="0" fillId="0" borderId="0" xfId="0"/>
    <xf numFmtId="10" fontId="0" fillId="0" borderId="0" xfId="2" applyNumberFormat="1" applyFont="1"/>
    <xf numFmtId="9" fontId="0" fillId="0" borderId="0" xfId="0" applyNumberFormat="1"/>
    <xf numFmtId="164" fontId="0" fillId="0" borderId="0" xfId="1" applyNumberFormat="1" applyFont="1"/>
    <xf numFmtId="10" fontId="0" fillId="0" borderId="0" xfId="0" applyNumberFormat="1"/>
    <xf numFmtId="0" fontId="3" fillId="0" borderId="0" xfId="0" applyFont="1"/>
    <xf numFmtId="9" fontId="4" fillId="0" borderId="0" xfId="2" applyFont="1"/>
    <xf numFmtId="164" fontId="4" fillId="0" borderId="0" xfId="1" applyNumberFormat="1" applyFont="1"/>
    <xf numFmtId="0" fontId="4" fillId="0" borderId="0" xfId="0" applyFont="1"/>
    <xf numFmtId="9" fontId="1" fillId="0" borderId="0" xfId="2" applyFont="1"/>
    <xf numFmtId="164" fontId="1" fillId="0" borderId="0" xfId="1" applyNumberFormat="1" applyFont="1"/>
    <xf numFmtId="164" fontId="0" fillId="0" borderId="0" xfId="0" applyNumberFormat="1"/>
    <xf numFmtId="10" fontId="1" fillId="0" borderId="0" xfId="2" applyNumberFormat="1" applyFont="1"/>
    <xf numFmtId="165" fontId="1" fillId="0" borderId="0" xfId="2" applyNumberFormat="1" applyFont="1"/>
    <xf numFmtId="164" fontId="6" fillId="0" borderId="0" xfId="1" applyNumberFormat="1" applyFont="1"/>
    <xf numFmtId="164" fontId="6" fillId="0" borderId="0" xfId="0" applyNumberFormat="1" applyFont="1"/>
    <xf numFmtId="10" fontId="6" fillId="0" borderId="0" xfId="2" applyNumberFormat="1" applyFont="1"/>
    <xf numFmtId="165" fontId="6" fillId="0" borderId="0" xfId="2" applyNumberFormat="1" applyFont="1"/>
    <xf numFmtId="0" fontId="0" fillId="0" borderId="0" xfId="0" applyBorder="1"/>
    <xf numFmtId="8" fontId="0" fillId="0" borderId="0" xfId="0" applyNumberFormat="1" applyBorder="1"/>
    <xf numFmtId="0" fontId="0" fillId="0" borderId="1" xfId="0" applyBorder="1"/>
    <xf numFmtId="0" fontId="0" fillId="0" borderId="2" xfId="0" applyBorder="1"/>
    <xf numFmtId="164" fontId="0" fillId="0" borderId="3" xfId="0" applyNumberFormat="1" applyBorder="1"/>
    <xf numFmtId="0" fontId="0" fillId="0" borderId="4" xfId="0" applyBorder="1"/>
    <xf numFmtId="8" fontId="0" fillId="0" borderId="5" xfId="0" applyNumberFormat="1" applyBorder="1"/>
    <xf numFmtId="0" fontId="0" fillId="0" borderId="6" xfId="0" applyBorder="1"/>
    <xf numFmtId="0" fontId="0" fillId="0" borderId="7" xfId="0" applyBorder="1"/>
    <xf numFmtId="8" fontId="0" fillId="0" borderId="8" xfId="0" applyNumberFormat="1" applyBorder="1"/>
    <xf numFmtId="9" fontId="0" fillId="0" borderId="0" xfId="2" applyFont="1"/>
    <xf numFmtId="165" fontId="0" fillId="0" borderId="0" xfId="2" applyNumberFormat="1" applyFont="1"/>
    <xf numFmtId="9" fontId="5" fillId="0" borderId="9" xfId="2" applyFont="1" applyBorder="1"/>
    <xf numFmtId="10" fontId="1" fillId="0" borderId="9" xfId="2" applyNumberFormat="1" applyFont="1" applyBorder="1"/>
    <xf numFmtId="0" fontId="0" fillId="0" borderId="9" xfId="0" applyBorder="1"/>
    <xf numFmtId="164" fontId="1" fillId="0" borderId="9" xfId="1" applyNumberFormat="1" applyFont="1" applyBorder="1"/>
    <xf numFmtId="0" fontId="4" fillId="0" borderId="0" xfId="0" applyFont="1" applyAlignment="1">
      <alignment horizontal="center"/>
    </xf>
    <xf numFmtId="0" fontId="7" fillId="0" borderId="0" xfId="0" applyFont="1"/>
    <xf numFmtId="166" fontId="1" fillId="0" borderId="0" xfId="2" applyNumberFormat="1" applyFont="1"/>
  </cellXfs>
  <cellStyles count="7">
    <cellStyle name="Comma 2" xfId="3"/>
    <cellStyle name="Currency" xfId="1" builtinId="4"/>
    <cellStyle name="Currency 2" xfId="4"/>
    <cellStyle name="Normal" xfId="0" builtinId="0"/>
    <cellStyle name="Normal 2" xfId="5"/>
    <cellStyle name="Percent" xfId="2" builtinId="5"/>
    <cellStyle name="Percent 2" xfId="6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G13" zoomScale="90" zoomScaleNormal="90" workbookViewId="0">
      <selection activeCell="S32" sqref="S32"/>
    </sheetView>
  </sheetViews>
  <sheetFormatPr defaultRowHeight="15" outlineLevelRow="1" x14ac:dyDescent="0.25"/>
  <cols>
    <col min="1" max="1" width="5.28515625" customWidth="1"/>
    <col min="2" max="2" width="19.42578125" bestFit="1" customWidth="1"/>
    <col min="3" max="3" width="6.140625" customWidth="1"/>
    <col min="4" max="4" width="15.85546875" bestFit="1" customWidth="1"/>
    <col min="5" max="5" width="14.28515625" bestFit="1" customWidth="1"/>
    <col min="7" max="7" width="12.5703125" bestFit="1" customWidth="1"/>
    <col min="9" max="9" width="17.140625" customWidth="1"/>
    <col min="11" max="11" width="8.7109375" customWidth="1"/>
    <col min="12" max="12" width="12.5703125" customWidth="1"/>
    <col min="13" max="13" width="8.7109375" customWidth="1"/>
    <col min="15" max="15" width="14.28515625" bestFit="1" customWidth="1"/>
    <col min="257" max="257" width="2.7109375" customWidth="1"/>
    <col min="258" max="258" width="19.42578125" bestFit="1" customWidth="1"/>
    <col min="259" max="259" width="4.5703125" customWidth="1"/>
    <col min="261" max="261" width="14.28515625" bestFit="1" customWidth="1"/>
    <col min="263" max="263" width="11.5703125" bestFit="1" customWidth="1"/>
    <col min="267" max="269" width="8.7109375" customWidth="1"/>
    <col min="271" max="271" width="14.28515625" bestFit="1" customWidth="1"/>
    <col min="513" max="513" width="2.7109375" customWidth="1"/>
    <col min="514" max="514" width="19.42578125" bestFit="1" customWidth="1"/>
    <col min="515" max="515" width="4.5703125" customWidth="1"/>
    <col min="517" max="517" width="14.28515625" bestFit="1" customWidth="1"/>
    <col min="519" max="519" width="11.5703125" bestFit="1" customWidth="1"/>
    <col min="523" max="525" width="8.7109375" customWidth="1"/>
    <col min="527" max="527" width="14.28515625" bestFit="1" customWidth="1"/>
    <col min="769" max="769" width="2.7109375" customWidth="1"/>
    <col min="770" max="770" width="19.42578125" bestFit="1" customWidth="1"/>
    <col min="771" max="771" width="4.5703125" customWidth="1"/>
    <col min="773" max="773" width="14.28515625" bestFit="1" customWidth="1"/>
    <col min="775" max="775" width="11.5703125" bestFit="1" customWidth="1"/>
    <col min="779" max="781" width="8.7109375" customWidth="1"/>
    <col min="783" max="783" width="14.28515625" bestFit="1" customWidth="1"/>
    <col min="1025" max="1025" width="2.7109375" customWidth="1"/>
    <col min="1026" max="1026" width="19.42578125" bestFit="1" customWidth="1"/>
    <col min="1027" max="1027" width="4.5703125" customWidth="1"/>
    <col min="1029" max="1029" width="14.28515625" bestFit="1" customWidth="1"/>
    <col min="1031" max="1031" width="11.5703125" bestFit="1" customWidth="1"/>
    <col min="1035" max="1037" width="8.7109375" customWidth="1"/>
    <col min="1039" max="1039" width="14.28515625" bestFit="1" customWidth="1"/>
    <col min="1281" max="1281" width="2.7109375" customWidth="1"/>
    <col min="1282" max="1282" width="19.42578125" bestFit="1" customWidth="1"/>
    <col min="1283" max="1283" width="4.5703125" customWidth="1"/>
    <col min="1285" max="1285" width="14.28515625" bestFit="1" customWidth="1"/>
    <col min="1287" max="1287" width="11.5703125" bestFit="1" customWidth="1"/>
    <col min="1291" max="1293" width="8.7109375" customWidth="1"/>
    <col min="1295" max="1295" width="14.28515625" bestFit="1" customWidth="1"/>
    <col min="1537" max="1537" width="2.7109375" customWidth="1"/>
    <col min="1538" max="1538" width="19.42578125" bestFit="1" customWidth="1"/>
    <col min="1539" max="1539" width="4.5703125" customWidth="1"/>
    <col min="1541" max="1541" width="14.28515625" bestFit="1" customWidth="1"/>
    <col min="1543" max="1543" width="11.5703125" bestFit="1" customWidth="1"/>
    <col min="1547" max="1549" width="8.7109375" customWidth="1"/>
    <col min="1551" max="1551" width="14.28515625" bestFit="1" customWidth="1"/>
    <col min="1793" max="1793" width="2.7109375" customWidth="1"/>
    <col min="1794" max="1794" width="19.42578125" bestFit="1" customWidth="1"/>
    <col min="1795" max="1795" width="4.5703125" customWidth="1"/>
    <col min="1797" max="1797" width="14.28515625" bestFit="1" customWidth="1"/>
    <col min="1799" max="1799" width="11.5703125" bestFit="1" customWidth="1"/>
    <col min="1803" max="1805" width="8.7109375" customWidth="1"/>
    <col min="1807" max="1807" width="14.28515625" bestFit="1" customWidth="1"/>
    <col min="2049" max="2049" width="2.7109375" customWidth="1"/>
    <col min="2050" max="2050" width="19.42578125" bestFit="1" customWidth="1"/>
    <col min="2051" max="2051" width="4.5703125" customWidth="1"/>
    <col min="2053" max="2053" width="14.28515625" bestFit="1" customWidth="1"/>
    <col min="2055" max="2055" width="11.5703125" bestFit="1" customWidth="1"/>
    <col min="2059" max="2061" width="8.7109375" customWidth="1"/>
    <col min="2063" max="2063" width="14.28515625" bestFit="1" customWidth="1"/>
    <col min="2305" max="2305" width="2.7109375" customWidth="1"/>
    <col min="2306" max="2306" width="19.42578125" bestFit="1" customWidth="1"/>
    <col min="2307" max="2307" width="4.5703125" customWidth="1"/>
    <col min="2309" max="2309" width="14.28515625" bestFit="1" customWidth="1"/>
    <col min="2311" max="2311" width="11.5703125" bestFit="1" customWidth="1"/>
    <col min="2315" max="2317" width="8.7109375" customWidth="1"/>
    <col min="2319" max="2319" width="14.28515625" bestFit="1" customWidth="1"/>
    <col min="2561" max="2561" width="2.7109375" customWidth="1"/>
    <col min="2562" max="2562" width="19.42578125" bestFit="1" customWidth="1"/>
    <col min="2563" max="2563" width="4.5703125" customWidth="1"/>
    <col min="2565" max="2565" width="14.28515625" bestFit="1" customWidth="1"/>
    <col min="2567" max="2567" width="11.5703125" bestFit="1" customWidth="1"/>
    <col min="2571" max="2573" width="8.7109375" customWidth="1"/>
    <col min="2575" max="2575" width="14.28515625" bestFit="1" customWidth="1"/>
    <col min="2817" max="2817" width="2.7109375" customWidth="1"/>
    <col min="2818" max="2818" width="19.42578125" bestFit="1" customWidth="1"/>
    <col min="2819" max="2819" width="4.5703125" customWidth="1"/>
    <col min="2821" max="2821" width="14.28515625" bestFit="1" customWidth="1"/>
    <col min="2823" max="2823" width="11.5703125" bestFit="1" customWidth="1"/>
    <col min="2827" max="2829" width="8.7109375" customWidth="1"/>
    <col min="2831" max="2831" width="14.28515625" bestFit="1" customWidth="1"/>
    <col min="3073" max="3073" width="2.7109375" customWidth="1"/>
    <col min="3074" max="3074" width="19.42578125" bestFit="1" customWidth="1"/>
    <col min="3075" max="3075" width="4.5703125" customWidth="1"/>
    <col min="3077" max="3077" width="14.28515625" bestFit="1" customWidth="1"/>
    <col min="3079" max="3079" width="11.5703125" bestFit="1" customWidth="1"/>
    <col min="3083" max="3085" width="8.7109375" customWidth="1"/>
    <col min="3087" max="3087" width="14.28515625" bestFit="1" customWidth="1"/>
    <col min="3329" max="3329" width="2.7109375" customWidth="1"/>
    <col min="3330" max="3330" width="19.42578125" bestFit="1" customWidth="1"/>
    <col min="3331" max="3331" width="4.5703125" customWidth="1"/>
    <col min="3333" max="3333" width="14.28515625" bestFit="1" customWidth="1"/>
    <col min="3335" max="3335" width="11.5703125" bestFit="1" customWidth="1"/>
    <col min="3339" max="3341" width="8.7109375" customWidth="1"/>
    <col min="3343" max="3343" width="14.28515625" bestFit="1" customWidth="1"/>
    <col min="3585" max="3585" width="2.7109375" customWidth="1"/>
    <col min="3586" max="3586" width="19.42578125" bestFit="1" customWidth="1"/>
    <col min="3587" max="3587" width="4.5703125" customWidth="1"/>
    <col min="3589" max="3589" width="14.28515625" bestFit="1" customWidth="1"/>
    <col min="3591" max="3591" width="11.5703125" bestFit="1" customWidth="1"/>
    <col min="3595" max="3597" width="8.7109375" customWidth="1"/>
    <col min="3599" max="3599" width="14.28515625" bestFit="1" customWidth="1"/>
    <col min="3841" max="3841" width="2.7109375" customWidth="1"/>
    <col min="3842" max="3842" width="19.42578125" bestFit="1" customWidth="1"/>
    <col min="3843" max="3843" width="4.5703125" customWidth="1"/>
    <col min="3845" max="3845" width="14.28515625" bestFit="1" customWidth="1"/>
    <col min="3847" max="3847" width="11.5703125" bestFit="1" customWidth="1"/>
    <col min="3851" max="3853" width="8.7109375" customWidth="1"/>
    <col min="3855" max="3855" width="14.28515625" bestFit="1" customWidth="1"/>
    <col min="4097" max="4097" width="2.7109375" customWidth="1"/>
    <col min="4098" max="4098" width="19.42578125" bestFit="1" customWidth="1"/>
    <col min="4099" max="4099" width="4.5703125" customWidth="1"/>
    <col min="4101" max="4101" width="14.28515625" bestFit="1" customWidth="1"/>
    <col min="4103" max="4103" width="11.5703125" bestFit="1" customWidth="1"/>
    <col min="4107" max="4109" width="8.7109375" customWidth="1"/>
    <col min="4111" max="4111" width="14.28515625" bestFit="1" customWidth="1"/>
    <col min="4353" max="4353" width="2.7109375" customWidth="1"/>
    <col min="4354" max="4354" width="19.42578125" bestFit="1" customWidth="1"/>
    <col min="4355" max="4355" width="4.5703125" customWidth="1"/>
    <col min="4357" max="4357" width="14.28515625" bestFit="1" customWidth="1"/>
    <col min="4359" max="4359" width="11.5703125" bestFit="1" customWidth="1"/>
    <col min="4363" max="4365" width="8.7109375" customWidth="1"/>
    <col min="4367" max="4367" width="14.28515625" bestFit="1" customWidth="1"/>
    <col min="4609" max="4609" width="2.7109375" customWidth="1"/>
    <col min="4610" max="4610" width="19.42578125" bestFit="1" customWidth="1"/>
    <col min="4611" max="4611" width="4.5703125" customWidth="1"/>
    <col min="4613" max="4613" width="14.28515625" bestFit="1" customWidth="1"/>
    <col min="4615" max="4615" width="11.5703125" bestFit="1" customWidth="1"/>
    <col min="4619" max="4621" width="8.7109375" customWidth="1"/>
    <col min="4623" max="4623" width="14.28515625" bestFit="1" customWidth="1"/>
    <col min="4865" max="4865" width="2.7109375" customWidth="1"/>
    <col min="4866" max="4866" width="19.42578125" bestFit="1" customWidth="1"/>
    <col min="4867" max="4867" width="4.5703125" customWidth="1"/>
    <col min="4869" max="4869" width="14.28515625" bestFit="1" customWidth="1"/>
    <col min="4871" max="4871" width="11.5703125" bestFit="1" customWidth="1"/>
    <col min="4875" max="4877" width="8.7109375" customWidth="1"/>
    <col min="4879" max="4879" width="14.28515625" bestFit="1" customWidth="1"/>
    <col min="5121" max="5121" width="2.7109375" customWidth="1"/>
    <col min="5122" max="5122" width="19.42578125" bestFit="1" customWidth="1"/>
    <col min="5123" max="5123" width="4.5703125" customWidth="1"/>
    <col min="5125" max="5125" width="14.28515625" bestFit="1" customWidth="1"/>
    <col min="5127" max="5127" width="11.5703125" bestFit="1" customWidth="1"/>
    <col min="5131" max="5133" width="8.7109375" customWidth="1"/>
    <col min="5135" max="5135" width="14.28515625" bestFit="1" customWidth="1"/>
    <col min="5377" max="5377" width="2.7109375" customWidth="1"/>
    <col min="5378" max="5378" width="19.42578125" bestFit="1" customWidth="1"/>
    <col min="5379" max="5379" width="4.5703125" customWidth="1"/>
    <col min="5381" max="5381" width="14.28515625" bestFit="1" customWidth="1"/>
    <col min="5383" max="5383" width="11.5703125" bestFit="1" customWidth="1"/>
    <col min="5387" max="5389" width="8.7109375" customWidth="1"/>
    <col min="5391" max="5391" width="14.28515625" bestFit="1" customWidth="1"/>
    <col min="5633" max="5633" width="2.7109375" customWidth="1"/>
    <col min="5634" max="5634" width="19.42578125" bestFit="1" customWidth="1"/>
    <col min="5635" max="5635" width="4.5703125" customWidth="1"/>
    <col min="5637" max="5637" width="14.28515625" bestFit="1" customWidth="1"/>
    <col min="5639" max="5639" width="11.5703125" bestFit="1" customWidth="1"/>
    <col min="5643" max="5645" width="8.7109375" customWidth="1"/>
    <col min="5647" max="5647" width="14.28515625" bestFit="1" customWidth="1"/>
    <col min="5889" max="5889" width="2.7109375" customWidth="1"/>
    <col min="5890" max="5890" width="19.42578125" bestFit="1" customWidth="1"/>
    <col min="5891" max="5891" width="4.5703125" customWidth="1"/>
    <col min="5893" max="5893" width="14.28515625" bestFit="1" customWidth="1"/>
    <col min="5895" max="5895" width="11.5703125" bestFit="1" customWidth="1"/>
    <col min="5899" max="5901" width="8.7109375" customWidth="1"/>
    <col min="5903" max="5903" width="14.28515625" bestFit="1" customWidth="1"/>
    <col min="6145" max="6145" width="2.7109375" customWidth="1"/>
    <col min="6146" max="6146" width="19.42578125" bestFit="1" customWidth="1"/>
    <col min="6147" max="6147" width="4.5703125" customWidth="1"/>
    <col min="6149" max="6149" width="14.28515625" bestFit="1" customWidth="1"/>
    <col min="6151" max="6151" width="11.5703125" bestFit="1" customWidth="1"/>
    <col min="6155" max="6157" width="8.7109375" customWidth="1"/>
    <col min="6159" max="6159" width="14.28515625" bestFit="1" customWidth="1"/>
    <col min="6401" max="6401" width="2.7109375" customWidth="1"/>
    <col min="6402" max="6402" width="19.42578125" bestFit="1" customWidth="1"/>
    <col min="6403" max="6403" width="4.5703125" customWidth="1"/>
    <col min="6405" max="6405" width="14.28515625" bestFit="1" customWidth="1"/>
    <col min="6407" max="6407" width="11.5703125" bestFit="1" customWidth="1"/>
    <col min="6411" max="6413" width="8.7109375" customWidth="1"/>
    <col min="6415" max="6415" width="14.28515625" bestFit="1" customWidth="1"/>
    <col min="6657" max="6657" width="2.7109375" customWidth="1"/>
    <col min="6658" max="6658" width="19.42578125" bestFit="1" customWidth="1"/>
    <col min="6659" max="6659" width="4.5703125" customWidth="1"/>
    <col min="6661" max="6661" width="14.28515625" bestFit="1" customWidth="1"/>
    <col min="6663" max="6663" width="11.5703125" bestFit="1" customWidth="1"/>
    <col min="6667" max="6669" width="8.7109375" customWidth="1"/>
    <col min="6671" max="6671" width="14.28515625" bestFit="1" customWidth="1"/>
    <col min="6913" max="6913" width="2.7109375" customWidth="1"/>
    <col min="6914" max="6914" width="19.42578125" bestFit="1" customWidth="1"/>
    <col min="6915" max="6915" width="4.5703125" customWidth="1"/>
    <col min="6917" max="6917" width="14.28515625" bestFit="1" customWidth="1"/>
    <col min="6919" max="6919" width="11.5703125" bestFit="1" customWidth="1"/>
    <col min="6923" max="6925" width="8.7109375" customWidth="1"/>
    <col min="6927" max="6927" width="14.28515625" bestFit="1" customWidth="1"/>
    <col min="7169" max="7169" width="2.7109375" customWidth="1"/>
    <col min="7170" max="7170" width="19.42578125" bestFit="1" customWidth="1"/>
    <col min="7171" max="7171" width="4.5703125" customWidth="1"/>
    <col min="7173" max="7173" width="14.28515625" bestFit="1" customWidth="1"/>
    <col min="7175" max="7175" width="11.5703125" bestFit="1" customWidth="1"/>
    <col min="7179" max="7181" width="8.7109375" customWidth="1"/>
    <col min="7183" max="7183" width="14.28515625" bestFit="1" customWidth="1"/>
    <col min="7425" max="7425" width="2.7109375" customWidth="1"/>
    <col min="7426" max="7426" width="19.42578125" bestFit="1" customWidth="1"/>
    <col min="7427" max="7427" width="4.5703125" customWidth="1"/>
    <col min="7429" max="7429" width="14.28515625" bestFit="1" customWidth="1"/>
    <col min="7431" max="7431" width="11.5703125" bestFit="1" customWidth="1"/>
    <col min="7435" max="7437" width="8.7109375" customWidth="1"/>
    <col min="7439" max="7439" width="14.28515625" bestFit="1" customWidth="1"/>
    <col min="7681" max="7681" width="2.7109375" customWidth="1"/>
    <col min="7682" max="7682" width="19.42578125" bestFit="1" customWidth="1"/>
    <col min="7683" max="7683" width="4.5703125" customWidth="1"/>
    <col min="7685" max="7685" width="14.28515625" bestFit="1" customWidth="1"/>
    <col min="7687" max="7687" width="11.5703125" bestFit="1" customWidth="1"/>
    <col min="7691" max="7693" width="8.7109375" customWidth="1"/>
    <col min="7695" max="7695" width="14.28515625" bestFit="1" customWidth="1"/>
    <col min="7937" max="7937" width="2.7109375" customWidth="1"/>
    <col min="7938" max="7938" width="19.42578125" bestFit="1" customWidth="1"/>
    <col min="7939" max="7939" width="4.5703125" customWidth="1"/>
    <col min="7941" max="7941" width="14.28515625" bestFit="1" customWidth="1"/>
    <col min="7943" max="7943" width="11.5703125" bestFit="1" customWidth="1"/>
    <col min="7947" max="7949" width="8.7109375" customWidth="1"/>
    <col min="7951" max="7951" width="14.28515625" bestFit="1" customWidth="1"/>
    <col min="8193" max="8193" width="2.7109375" customWidth="1"/>
    <col min="8194" max="8194" width="19.42578125" bestFit="1" customWidth="1"/>
    <col min="8195" max="8195" width="4.5703125" customWidth="1"/>
    <col min="8197" max="8197" width="14.28515625" bestFit="1" customWidth="1"/>
    <col min="8199" max="8199" width="11.5703125" bestFit="1" customWidth="1"/>
    <col min="8203" max="8205" width="8.7109375" customWidth="1"/>
    <col min="8207" max="8207" width="14.28515625" bestFit="1" customWidth="1"/>
    <col min="8449" max="8449" width="2.7109375" customWidth="1"/>
    <col min="8450" max="8450" width="19.42578125" bestFit="1" customWidth="1"/>
    <col min="8451" max="8451" width="4.5703125" customWidth="1"/>
    <col min="8453" max="8453" width="14.28515625" bestFit="1" customWidth="1"/>
    <col min="8455" max="8455" width="11.5703125" bestFit="1" customWidth="1"/>
    <col min="8459" max="8461" width="8.7109375" customWidth="1"/>
    <col min="8463" max="8463" width="14.28515625" bestFit="1" customWidth="1"/>
    <col min="8705" max="8705" width="2.7109375" customWidth="1"/>
    <col min="8706" max="8706" width="19.42578125" bestFit="1" customWidth="1"/>
    <col min="8707" max="8707" width="4.5703125" customWidth="1"/>
    <col min="8709" max="8709" width="14.28515625" bestFit="1" customWidth="1"/>
    <col min="8711" max="8711" width="11.5703125" bestFit="1" customWidth="1"/>
    <col min="8715" max="8717" width="8.7109375" customWidth="1"/>
    <col min="8719" max="8719" width="14.28515625" bestFit="1" customWidth="1"/>
    <col min="8961" max="8961" width="2.7109375" customWidth="1"/>
    <col min="8962" max="8962" width="19.42578125" bestFit="1" customWidth="1"/>
    <col min="8963" max="8963" width="4.5703125" customWidth="1"/>
    <col min="8965" max="8965" width="14.28515625" bestFit="1" customWidth="1"/>
    <col min="8967" max="8967" width="11.5703125" bestFit="1" customWidth="1"/>
    <col min="8971" max="8973" width="8.7109375" customWidth="1"/>
    <col min="8975" max="8975" width="14.28515625" bestFit="1" customWidth="1"/>
    <col min="9217" max="9217" width="2.7109375" customWidth="1"/>
    <col min="9218" max="9218" width="19.42578125" bestFit="1" customWidth="1"/>
    <col min="9219" max="9219" width="4.5703125" customWidth="1"/>
    <col min="9221" max="9221" width="14.28515625" bestFit="1" customWidth="1"/>
    <col min="9223" max="9223" width="11.5703125" bestFit="1" customWidth="1"/>
    <col min="9227" max="9229" width="8.7109375" customWidth="1"/>
    <col min="9231" max="9231" width="14.28515625" bestFit="1" customWidth="1"/>
    <col min="9473" max="9473" width="2.7109375" customWidth="1"/>
    <col min="9474" max="9474" width="19.42578125" bestFit="1" customWidth="1"/>
    <col min="9475" max="9475" width="4.5703125" customWidth="1"/>
    <col min="9477" max="9477" width="14.28515625" bestFit="1" customWidth="1"/>
    <col min="9479" max="9479" width="11.5703125" bestFit="1" customWidth="1"/>
    <col min="9483" max="9485" width="8.7109375" customWidth="1"/>
    <col min="9487" max="9487" width="14.28515625" bestFit="1" customWidth="1"/>
    <col min="9729" max="9729" width="2.7109375" customWidth="1"/>
    <col min="9730" max="9730" width="19.42578125" bestFit="1" customWidth="1"/>
    <col min="9731" max="9731" width="4.5703125" customWidth="1"/>
    <col min="9733" max="9733" width="14.28515625" bestFit="1" customWidth="1"/>
    <col min="9735" max="9735" width="11.5703125" bestFit="1" customWidth="1"/>
    <col min="9739" max="9741" width="8.7109375" customWidth="1"/>
    <col min="9743" max="9743" width="14.28515625" bestFit="1" customWidth="1"/>
    <col min="9985" max="9985" width="2.7109375" customWidth="1"/>
    <col min="9986" max="9986" width="19.42578125" bestFit="1" customWidth="1"/>
    <col min="9987" max="9987" width="4.5703125" customWidth="1"/>
    <col min="9989" max="9989" width="14.28515625" bestFit="1" customWidth="1"/>
    <col min="9991" max="9991" width="11.5703125" bestFit="1" customWidth="1"/>
    <col min="9995" max="9997" width="8.7109375" customWidth="1"/>
    <col min="9999" max="9999" width="14.28515625" bestFit="1" customWidth="1"/>
    <col min="10241" max="10241" width="2.7109375" customWidth="1"/>
    <col min="10242" max="10242" width="19.42578125" bestFit="1" customWidth="1"/>
    <col min="10243" max="10243" width="4.5703125" customWidth="1"/>
    <col min="10245" max="10245" width="14.28515625" bestFit="1" customWidth="1"/>
    <col min="10247" max="10247" width="11.5703125" bestFit="1" customWidth="1"/>
    <col min="10251" max="10253" width="8.7109375" customWidth="1"/>
    <col min="10255" max="10255" width="14.28515625" bestFit="1" customWidth="1"/>
    <col min="10497" max="10497" width="2.7109375" customWidth="1"/>
    <col min="10498" max="10498" width="19.42578125" bestFit="1" customWidth="1"/>
    <col min="10499" max="10499" width="4.5703125" customWidth="1"/>
    <col min="10501" max="10501" width="14.28515625" bestFit="1" customWidth="1"/>
    <col min="10503" max="10503" width="11.5703125" bestFit="1" customWidth="1"/>
    <col min="10507" max="10509" width="8.7109375" customWidth="1"/>
    <col min="10511" max="10511" width="14.28515625" bestFit="1" customWidth="1"/>
    <col min="10753" max="10753" width="2.7109375" customWidth="1"/>
    <col min="10754" max="10754" width="19.42578125" bestFit="1" customWidth="1"/>
    <col min="10755" max="10755" width="4.5703125" customWidth="1"/>
    <col min="10757" max="10757" width="14.28515625" bestFit="1" customWidth="1"/>
    <col min="10759" max="10759" width="11.5703125" bestFit="1" customWidth="1"/>
    <col min="10763" max="10765" width="8.7109375" customWidth="1"/>
    <col min="10767" max="10767" width="14.28515625" bestFit="1" customWidth="1"/>
    <col min="11009" max="11009" width="2.7109375" customWidth="1"/>
    <col min="11010" max="11010" width="19.42578125" bestFit="1" customWidth="1"/>
    <col min="11011" max="11011" width="4.5703125" customWidth="1"/>
    <col min="11013" max="11013" width="14.28515625" bestFit="1" customWidth="1"/>
    <col min="11015" max="11015" width="11.5703125" bestFit="1" customWidth="1"/>
    <col min="11019" max="11021" width="8.7109375" customWidth="1"/>
    <col min="11023" max="11023" width="14.28515625" bestFit="1" customWidth="1"/>
    <col min="11265" max="11265" width="2.7109375" customWidth="1"/>
    <col min="11266" max="11266" width="19.42578125" bestFit="1" customWidth="1"/>
    <col min="11267" max="11267" width="4.5703125" customWidth="1"/>
    <col min="11269" max="11269" width="14.28515625" bestFit="1" customWidth="1"/>
    <col min="11271" max="11271" width="11.5703125" bestFit="1" customWidth="1"/>
    <col min="11275" max="11277" width="8.7109375" customWidth="1"/>
    <col min="11279" max="11279" width="14.28515625" bestFit="1" customWidth="1"/>
    <col min="11521" max="11521" width="2.7109375" customWidth="1"/>
    <col min="11522" max="11522" width="19.42578125" bestFit="1" customWidth="1"/>
    <col min="11523" max="11523" width="4.5703125" customWidth="1"/>
    <col min="11525" max="11525" width="14.28515625" bestFit="1" customWidth="1"/>
    <col min="11527" max="11527" width="11.5703125" bestFit="1" customWidth="1"/>
    <col min="11531" max="11533" width="8.7109375" customWidth="1"/>
    <col min="11535" max="11535" width="14.28515625" bestFit="1" customWidth="1"/>
    <col min="11777" max="11777" width="2.7109375" customWidth="1"/>
    <col min="11778" max="11778" width="19.42578125" bestFit="1" customWidth="1"/>
    <col min="11779" max="11779" width="4.5703125" customWidth="1"/>
    <col min="11781" max="11781" width="14.28515625" bestFit="1" customWidth="1"/>
    <col min="11783" max="11783" width="11.5703125" bestFit="1" customWidth="1"/>
    <col min="11787" max="11789" width="8.7109375" customWidth="1"/>
    <col min="11791" max="11791" width="14.28515625" bestFit="1" customWidth="1"/>
    <col min="12033" max="12033" width="2.7109375" customWidth="1"/>
    <col min="12034" max="12034" width="19.42578125" bestFit="1" customWidth="1"/>
    <col min="12035" max="12035" width="4.5703125" customWidth="1"/>
    <col min="12037" max="12037" width="14.28515625" bestFit="1" customWidth="1"/>
    <col min="12039" max="12039" width="11.5703125" bestFit="1" customWidth="1"/>
    <col min="12043" max="12045" width="8.7109375" customWidth="1"/>
    <col min="12047" max="12047" width="14.28515625" bestFit="1" customWidth="1"/>
    <col min="12289" max="12289" width="2.7109375" customWidth="1"/>
    <col min="12290" max="12290" width="19.42578125" bestFit="1" customWidth="1"/>
    <col min="12291" max="12291" width="4.5703125" customWidth="1"/>
    <col min="12293" max="12293" width="14.28515625" bestFit="1" customWidth="1"/>
    <col min="12295" max="12295" width="11.5703125" bestFit="1" customWidth="1"/>
    <col min="12299" max="12301" width="8.7109375" customWidth="1"/>
    <col min="12303" max="12303" width="14.28515625" bestFit="1" customWidth="1"/>
    <col min="12545" max="12545" width="2.7109375" customWidth="1"/>
    <col min="12546" max="12546" width="19.42578125" bestFit="1" customWidth="1"/>
    <col min="12547" max="12547" width="4.5703125" customWidth="1"/>
    <col min="12549" max="12549" width="14.28515625" bestFit="1" customWidth="1"/>
    <col min="12551" max="12551" width="11.5703125" bestFit="1" customWidth="1"/>
    <col min="12555" max="12557" width="8.7109375" customWidth="1"/>
    <col min="12559" max="12559" width="14.28515625" bestFit="1" customWidth="1"/>
    <col min="12801" max="12801" width="2.7109375" customWidth="1"/>
    <col min="12802" max="12802" width="19.42578125" bestFit="1" customWidth="1"/>
    <col min="12803" max="12803" width="4.5703125" customWidth="1"/>
    <col min="12805" max="12805" width="14.28515625" bestFit="1" customWidth="1"/>
    <col min="12807" max="12807" width="11.5703125" bestFit="1" customWidth="1"/>
    <col min="12811" max="12813" width="8.7109375" customWidth="1"/>
    <col min="12815" max="12815" width="14.28515625" bestFit="1" customWidth="1"/>
    <col min="13057" max="13057" width="2.7109375" customWidth="1"/>
    <col min="13058" max="13058" width="19.42578125" bestFit="1" customWidth="1"/>
    <col min="13059" max="13059" width="4.5703125" customWidth="1"/>
    <col min="13061" max="13061" width="14.28515625" bestFit="1" customWidth="1"/>
    <col min="13063" max="13063" width="11.5703125" bestFit="1" customWidth="1"/>
    <col min="13067" max="13069" width="8.7109375" customWidth="1"/>
    <col min="13071" max="13071" width="14.28515625" bestFit="1" customWidth="1"/>
    <col min="13313" max="13313" width="2.7109375" customWidth="1"/>
    <col min="13314" max="13314" width="19.42578125" bestFit="1" customWidth="1"/>
    <col min="13315" max="13315" width="4.5703125" customWidth="1"/>
    <col min="13317" max="13317" width="14.28515625" bestFit="1" customWidth="1"/>
    <col min="13319" max="13319" width="11.5703125" bestFit="1" customWidth="1"/>
    <col min="13323" max="13325" width="8.7109375" customWidth="1"/>
    <col min="13327" max="13327" width="14.28515625" bestFit="1" customWidth="1"/>
    <col min="13569" max="13569" width="2.7109375" customWidth="1"/>
    <col min="13570" max="13570" width="19.42578125" bestFit="1" customWidth="1"/>
    <col min="13571" max="13571" width="4.5703125" customWidth="1"/>
    <col min="13573" max="13573" width="14.28515625" bestFit="1" customWidth="1"/>
    <col min="13575" max="13575" width="11.5703125" bestFit="1" customWidth="1"/>
    <col min="13579" max="13581" width="8.7109375" customWidth="1"/>
    <col min="13583" max="13583" width="14.28515625" bestFit="1" customWidth="1"/>
    <col min="13825" max="13825" width="2.7109375" customWidth="1"/>
    <col min="13826" max="13826" width="19.42578125" bestFit="1" customWidth="1"/>
    <col min="13827" max="13827" width="4.5703125" customWidth="1"/>
    <col min="13829" max="13829" width="14.28515625" bestFit="1" customWidth="1"/>
    <col min="13831" max="13831" width="11.5703125" bestFit="1" customWidth="1"/>
    <col min="13835" max="13837" width="8.7109375" customWidth="1"/>
    <col min="13839" max="13839" width="14.28515625" bestFit="1" customWidth="1"/>
    <col min="14081" max="14081" width="2.7109375" customWidth="1"/>
    <col min="14082" max="14082" width="19.42578125" bestFit="1" customWidth="1"/>
    <col min="14083" max="14083" width="4.5703125" customWidth="1"/>
    <col min="14085" max="14085" width="14.28515625" bestFit="1" customWidth="1"/>
    <col min="14087" max="14087" width="11.5703125" bestFit="1" customWidth="1"/>
    <col min="14091" max="14093" width="8.7109375" customWidth="1"/>
    <col min="14095" max="14095" width="14.28515625" bestFit="1" customWidth="1"/>
    <col min="14337" max="14337" width="2.7109375" customWidth="1"/>
    <col min="14338" max="14338" width="19.42578125" bestFit="1" customWidth="1"/>
    <col min="14339" max="14339" width="4.5703125" customWidth="1"/>
    <col min="14341" max="14341" width="14.28515625" bestFit="1" customWidth="1"/>
    <col min="14343" max="14343" width="11.5703125" bestFit="1" customWidth="1"/>
    <col min="14347" max="14349" width="8.7109375" customWidth="1"/>
    <col min="14351" max="14351" width="14.28515625" bestFit="1" customWidth="1"/>
    <col min="14593" max="14593" width="2.7109375" customWidth="1"/>
    <col min="14594" max="14594" width="19.42578125" bestFit="1" customWidth="1"/>
    <col min="14595" max="14595" width="4.5703125" customWidth="1"/>
    <col min="14597" max="14597" width="14.28515625" bestFit="1" customWidth="1"/>
    <col min="14599" max="14599" width="11.5703125" bestFit="1" customWidth="1"/>
    <col min="14603" max="14605" width="8.7109375" customWidth="1"/>
    <col min="14607" max="14607" width="14.28515625" bestFit="1" customWidth="1"/>
    <col min="14849" max="14849" width="2.7109375" customWidth="1"/>
    <col min="14850" max="14850" width="19.42578125" bestFit="1" customWidth="1"/>
    <col min="14851" max="14851" width="4.5703125" customWidth="1"/>
    <col min="14853" max="14853" width="14.28515625" bestFit="1" customWidth="1"/>
    <col min="14855" max="14855" width="11.5703125" bestFit="1" customWidth="1"/>
    <col min="14859" max="14861" width="8.7109375" customWidth="1"/>
    <col min="14863" max="14863" width="14.28515625" bestFit="1" customWidth="1"/>
    <col min="15105" max="15105" width="2.7109375" customWidth="1"/>
    <col min="15106" max="15106" width="19.42578125" bestFit="1" customWidth="1"/>
    <col min="15107" max="15107" width="4.5703125" customWidth="1"/>
    <col min="15109" max="15109" width="14.28515625" bestFit="1" customWidth="1"/>
    <col min="15111" max="15111" width="11.5703125" bestFit="1" customWidth="1"/>
    <col min="15115" max="15117" width="8.7109375" customWidth="1"/>
    <col min="15119" max="15119" width="14.28515625" bestFit="1" customWidth="1"/>
    <col min="15361" max="15361" width="2.7109375" customWidth="1"/>
    <col min="15362" max="15362" width="19.42578125" bestFit="1" customWidth="1"/>
    <col min="15363" max="15363" width="4.5703125" customWidth="1"/>
    <col min="15365" max="15365" width="14.28515625" bestFit="1" customWidth="1"/>
    <col min="15367" max="15367" width="11.5703125" bestFit="1" customWidth="1"/>
    <col min="15371" max="15373" width="8.7109375" customWidth="1"/>
    <col min="15375" max="15375" width="14.28515625" bestFit="1" customWidth="1"/>
    <col min="15617" max="15617" width="2.7109375" customWidth="1"/>
    <col min="15618" max="15618" width="19.42578125" bestFit="1" customWidth="1"/>
    <col min="15619" max="15619" width="4.5703125" customWidth="1"/>
    <col min="15621" max="15621" width="14.28515625" bestFit="1" customWidth="1"/>
    <col min="15623" max="15623" width="11.5703125" bestFit="1" customWidth="1"/>
    <col min="15627" max="15629" width="8.7109375" customWidth="1"/>
    <col min="15631" max="15631" width="14.28515625" bestFit="1" customWidth="1"/>
    <col min="15873" max="15873" width="2.7109375" customWidth="1"/>
    <col min="15874" max="15874" width="19.42578125" bestFit="1" customWidth="1"/>
    <col min="15875" max="15875" width="4.5703125" customWidth="1"/>
    <col min="15877" max="15877" width="14.28515625" bestFit="1" customWidth="1"/>
    <col min="15879" max="15879" width="11.5703125" bestFit="1" customWidth="1"/>
    <col min="15883" max="15885" width="8.7109375" customWidth="1"/>
    <col min="15887" max="15887" width="14.28515625" bestFit="1" customWidth="1"/>
    <col min="16129" max="16129" width="2.7109375" customWidth="1"/>
    <col min="16130" max="16130" width="19.42578125" bestFit="1" customWidth="1"/>
    <col min="16131" max="16131" width="4.5703125" customWidth="1"/>
    <col min="16133" max="16133" width="14.28515625" bestFit="1" customWidth="1"/>
    <col min="16135" max="16135" width="11.5703125" bestFit="1" customWidth="1"/>
    <col min="16139" max="16141" width="8.7109375" customWidth="1"/>
    <col min="16143" max="16143" width="14.28515625" bestFit="1" customWidth="1"/>
  </cols>
  <sheetData>
    <row r="1" spans="1:13" ht="18" x14ac:dyDescent="0.35">
      <c r="A1" s="5" t="s">
        <v>21</v>
      </c>
    </row>
    <row r="2" spans="1:13" ht="14.45" x14ac:dyDescent="0.3">
      <c r="C2" s="9"/>
      <c r="E2" s="28" t="s">
        <v>26</v>
      </c>
      <c r="F2" s="29"/>
      <c r="G2" s="11"/>
      <c r="H2" s="12"/>
      <c r="J2" s="13"/>
      <c r="L2" s="4"/>
      <c r="M2" s="12"/>
    </row>
    <row r="3" spans="1:13" ht="14.45" x14ac:dyDescent="0.3">
      <c r="B3" s="28" t="s">
        <v>22</v>
      </c>
      <c r="D3" s="33">
        <v>2000000</v>
      </c>
      <c r="E3" s="9">
        <v>1</v>
      </c>
      <c r="G3" s="11"/>
      <c r="H3" s="12"/>
      <c r="J3" s="13"/>
      <c r="L3" s="4"/>
      <c r="M3" s="12"/>
    </row>
    <row r="4" spans="1:13" ht="14.45" x14ac:dyDescent="0.3">
      <c r="B4" s="28" t="s">
        <v>18</v>
      </c>
      <c r="D4" s="33">
        <v>210000</v>
      </c>
      <c r="E4" s="28">
        <v>1</v>
      </c>
      <c r="G4" s="11"/>
      <c r="H4" s="12"/>
      <c r="J4" s="13"/>
      <c r="L4" s="4"/>
      <c r="M4" s="12"/>
    </row>
    <row r="5" spans="1:13" ht="14.45" x14ac:dyDescent="0.3">
      <c r="C5" s="9"/>
      <c r="E5" s="9"/>
      <c r="F5" s="29"/>
      <c r="G5" s="11"/>
      <c r="H5" s="12"/>
      <c r="J5" s="13"/>
      <c r="L5" s="4"/>
      <c r="M5" s="12"/>
    </row>
    <row r="6" spans="1:13" ht="14.45" x14ac:dyDescent="0.3">
      <c r="B6" s="8" t="s">
        <v>12</v>
      </c>
      <c r="H6" s="13"/>
      <c r="I6" s="13"/>
      <c r="J6" s="13"/>
      <c r="L6" s="18"/>
      <c r="M6" s="12"/>
    </row>
    <row r="7" spans="1:13" ht="14.45" x14ac:dyDescent="0.3">
      <c r="B7" s="20" t="s">
        <v>13</v>
      </c>
      <c r="C7" s="21"/>
      <c r="D7" s="21"/>
      <c r="E7" s="22">
        <f>E15</f>
        <v>1500000</v>
      </c>
      <c r="G7" s="11"/>
      <c r="H7" s="18" t="s">
        <v>24</v>
      </c>
      <c r="I7" s="13"/>
      <c r="J7" s="13"/>
      <c r="L7" s="18"/>
      <c r="M7" s="12"/>
    </row>
    <row r="8" spans="1:13" ht="14.45" x14ac:dyDescent="0.3">
      <c r="B8" s="23" t="s">
        <v>14</v>
      </c>
      <c r="C8" s="18"/>
      <c r="D8" s="18"/>
      <c r="E8" s="31">
        <v>0.08</v>
      </c>
      <c r="G8" s="11"/>
      <c r="H8" s="13" t="s">
        <v>15</v>
      </c>
      <c r="I8" s="13"/>
      <c r="J8" s="13"/>
      <c r="L8" s="18"/>
      <c r="M8" s="12"/>
    </row>
    <row r="9" spans="1:13" ht="14.45" x14ac:dyDescent="0.3">
      <c r="B9" s="23" t="s">
        <v>16</v>
      </c>
      <c r="C9" s="18"/>
      <c r="D9" s="18"/>
      <c r="E9" s="32">
        <v>9999</v>
      </c>
      <c r="G9" s="11"/>
      <c r="H9" s="13"/>
      <c r="I9" s="13"/>
      <c r="J9" s="13"/>
      <c r="L9" s="18"/>
      <c r="M9" s="12"/>
    </row>
    <row r="10" spans="1:13" ht="14.45" x14ac:dyDescent="0.3">
      <c r="B10" s="23" t="s">
        <v>23</v>
      </c>
      <c r="C10" s="18"/>
      <c r="D10" s="18"/>
      <c r="E10" s="24">
        <f>-PMT(E8/12,E9*12,E7)</f>
        <v>10000</v>
      </c>
      <c r="G10" s="11"/>
      <c r="H10" s="13"/>
      <c r="I10" s="13"/>
      <c r="J10" s="13"/>
      <c r="L10" s="18"/>
      <c r="M10" s="12"/>
    </row>
    <row r="11" spans="1:13" ht="14.45" x14ac:dyDescent="0.3">
      <c r="B11" s="25" t="s">
        <v>17</v>
      </c>
      <c r="C11" s="26"/>
      <c r="D11" s="26">
        <v>12</v>
      </c>
      <c r="E11" s="27">
        <f>E10*D11</f>
        <v>120000</v>
      </c>
      <c r="G11" s="11"/>
      <c r="H11" s="13"/>
      <c r="I11" s="13"/>
      <c r="J11" s="13"/>
      <c r="L11" s="18"/>
      <c r="M11" s="12"/>
    </row>
    <row r="12" spans="1:13" ht="14.45" x14ac:dyDescent="0.3">
      <c r="D12" s="9"/>
      <c r="E12" s="10"/>
      <c r="G12" s="11"/>
      <c r="H12" s="13"/>
      <c r="I12" s="13"/>
      <c r="J12" s="13"/>
      <c r="L12" s="18"/>
      <c r="M12" s="12"/>
    </row>
    <row r="13" spans="1:13" ht="14.45" x14ac:dyDescent="0.3">
      <c r="D13" s="6" t="s">
        <v>2</v>
      </c>
      <c r="E13" s="7"/>
      <c r="G13" s="8" t="s">
        <v>3</v>
      </c>
      <c r="H13" s="8" t="s">
        <v>4</v>
      </c>
      <c r="I13" s="8" t="s">
        <v>5</v>
      </c>
      <c r="J13" s="8"/>
      <c r="K13" s="8" t="s">
        <v>6</v>
      </c>
      <c r="L13" s="8" t="s">
        <v>4</v>
      </c>
      <c r="M13" s="8" t="s">
        <v>33</v>
      </c>
    </row>
    <row r="14" spans="1:13" ht="14.45" x14ac:dyDescent="0.3">
      <c r="B14" t="s">
        <v>7</v>
      </c>
      <c r="C14" s="9"/>
      <c r="D14" s="9">
        <f>1-D15</f>
        <v>0.25</v>
      </c>
      <c r="E14" s="10">
        <f>D14*$E$16</f>
        <v>500000</v>
      </c>
      <c r="G14" s="11">
        <f>G16-G15</f>
        <v>90000</v>
      </c>
      <c r="H14" s="12">
        <f>G14/E14</f>
        <v>0.18</v>
      </c>
      <c r="I14" t="s">
        <v>8</v>
      </c>
      <c r="J14" s="13"/>
      <c r="K14" s="2">
        <f>D14</f>
        <v>0.25</v>
      </c>
      <c r="L14" s="4">
        <f>H14</f>
        <v>0.18</v>
      </c>
      <c r="M14" s="36">
        <f>D14*H14</f>
        <v>4.4999999999999998E-2</v>
      </c>
    </row>
    <row r="15" spans="1:13" ht="17.25" x14ac:dyDescent="0.4">
      <c r="B15" t="s">
        <v>9</v>
      </c>
      <c r="D15" s="30">
        <v>0.75</v>
      </c>
      <c r="E15" s="14">
        <f>D15*$E$16</f>
        <v>1500000</v>
      </c>
      <c r="G15" s="15">
        <f>E11</f>
        <v>120000</v>
      </c>
      <c r="H15" s="16">
        <f>E11/E15</f>
        <v>0.08</v>
      </c>
      <c r="I15" s="35" t="s">
        <v>36</v>
      </c>
      <c r="J15" s="17"/>
      <c r="K15" s="2">
        <f>D15</f>
        <v>0.75</v>
      </c>
      <c r="L15" s="4">
        <f>H15</f>
        <v>0.08</v>
      </c>
      <c r="M15" s="12">
        <f>D15*H15</f>
        <v>0.06</v>
      </c>
    </row>
    <row r="16" spans="1:13" ht="14.45" x14ac:dyDescent="0.3">
      <c r="B16" t="s">
        <v>10</v>
      </c>
      <c r="D16" s="9">
        <f>SUM(D14:D15)</f>
        <v>1</v>
      </c>
      <c r="E16" s="10">
        <f>D3*E3</f>
        <v>2000000</v>
      </c>
      <c r="F16" s="29"/>
      <c r="G16" s="3">
        <f>D4*E4</f>
        <v>210000</v>
      </c>
      <c r="H16" s="12">
        <f>G16/E16</f>
        <v>0.105</v>
      </c>
      <c r="I16" t="s">
        <v>11</v>
      </c>
      <c r="J16" s="13"/>
      <c r="L16" s="4"/>
      <c r="M16" s="12">
        <f>SUM(M14:M15)</f>
        <v>0.105</v>
      </c>
    </row>
    <row r="17" spans="1:19" ht="14.45" x14ac:dyDescent="0.3">
      <c r="D17" s="9"/>
      <c r="E17" s="10"/>
      <c r="F17" s="29"/>
      <c r="G17" s="11"/>
      <c r="H17" s="12"/>
      <c r="J17" s="13"/>
      <c r="L17" s="4"/>
      <c r="M17" s="12"/>
    </row>
    <row r="18" spans="1:19" ht="16.149999999999999" outlineLevel="1" x14ac:dyDescent="0.45">
      <c r="A18" t="s">
        <v>0</v>
      </c>
      <c r="B18" t="s">
        <v>11</v>
      </c>
      <c r="D18" s="15">
        <f>D4</f>
        <v>210000</v>
      </c>
      <c r="E18" s="1">
        <f>D18/D19</f>
        <v>0.105</v>
      </c>
      <c r="G18" s="11"/>
      <c r="H18" s="12"/>
      <c r="J18" s="13"/>
      <c r="L18" s="4"/>
      <c r="M18" s="12"/>
    </row>
    <row r="19" spans="1:19" ht="14.45" outlineLevel="1" x14ac:dyDescent="0.3">
      <c r="D19" s="11">
        <f>D3</f>
        <v>2000000</v>
      </c>
      <c r="G19" s="11"/>
      <c r="H19" s="13"/>
      <c r="I19" s="13"/>
      <c r="J19" s="13"/>
      <c r="L19" s="18"/>
      <c r="M19" s="18"/>
      <c r="N19" s="18"/>
      <c r="O19" s="19"/>
    </row>
    <row r="20" spans="1:19" ht="14.45" x14ac:dyDescent="0.3">
      <c r="M20" s="18"/>
      <c r="N20" s="18"/>
      <c r="O20" s="19"/>
    </row>
    <row r="21" spans="1:19" outlineLevel="1" x14ac:dyDescent="0.25">
      <c r="A21" t="s">
        <v>1</v>
      </c>
      <c r="B21" s="4">
        <f>H14</f>
        <v>0.18</v>
      </c>
      <c r="C21" t="s">
        <v>35</v>
      </c>
    </row>
    <row r="23" spans="1:19" outlineLevel="1" x14ac:dyDescent="0.25">
      <c r="A23" t="s">
        <v>25</v>
      </c>
      <c r="B23" s="11">
        <f>G16</f>
        <v>210000</v>
      </c>
      <c r="C23" t="s">
        <v>18</v>
      </c>
      <c r="M23" s="35" t="s">
        <v>37</v>
      </c>
    </row>
    <row r="24" spans="1:19" outlineLevel="1" x14ac:dyDescent="0.25">
      <c r="B24" s="4">
        <f>H15</f>
        <v>0.08</v>
      </c>
      <c r="C24" t="s">
        <v>19</v>
      </c>
      <c r="M24" t="s">
        <v>38</v>
      </c>
    </row>
    <row r="25" spans="1:19" outlineLevel="1" x14ac:dyDescent="0.25">
      <c r="B25" s="11">
        <f>B23/B24</f>
        <v>2625000</v>
      </c>
      <c r="C25" t="s">
        <v>20</v>
      </c>
      <c r="E25" s="35" t="s">
        <v>34</v>
      </c>
      <c r="M25" t="s">
        <v>39</v>
      </c>
    </row>
    <row r="26" spans="1:19" x14ac:dyDescent="0.25">
      <c r="B26" s="11"/>
      <c r="M26" t="s">
        <v>41</v>
      </c>
    </row>
    <row r="27" spans="1:19" outlineLevel="1" x14ac:dyDescent="0.25">
      <c r="A27" t="s">
        <v>27</v>
      </c>
      <c r="B27" s="29">
        <f>D15</f>
        <v>0.75</v>
      </c>
      <c r="C27" t="s">
        <v>28</v>
      </c>
      <c r="M27" t="s">
        <v>40</v>
      </c>
    </row>
    <row r="28" spans="1:19" outlineLevel="1" x14ac:dyDescent="0.25">
      <c r="B28" t="s">
        <v>29</v>
      </c>
    </row>
    <row r="30" spans="1:19" ht="14.45" customHeight="1" outlineLevel="1" x14ac:dyDescent="0.25">
      <c r="A30" t="s">
        <v>32</v>
      </c>
      <c r="B30" s="11"/>
      <c r="D30" s="34" t="s">
        <v>31</v>
      </c>
      <c r="E30" s="34"/>
      <c r="F30" s="34"/>
      <c r="G30" s="34"/>
      <c r="H30" s="34"/>
      <c r="I30" s="34"/>
      <c r="N30" t="s">
        <v>28</v>
      </c>
    </row>
    <row r="31" spans="1:19" outlineLevel="1" x14ac:dyDescent="0.25">
      <c r="B31" s="11"/>
      <c r="C31" s="29">
        <f>$H$14</f>
        <v>0.18</v>
      </c>
      <c r="D31" s="28">
        <v>0.65</v>
      </c>
      <c r="E31" s="28">
        <f>D31+0.05</f>
        <v>0.70000000000000007</v>
      </c>
      <c r="F31" s="28">
        <f t="shared" ref="F31:I31" si="0">E31+0.05</f>
        <v>0.75000000000000011</v>
      </c>
      <c r="G31" s="28">
        <f t="shared" si="0"/>
        <v>0.80000000000000016</v>
      </c>
      <c r="H31" s="28">
        <f t="shared" si="0"/>
        <v>0.8500000000000002</v>
      </c>
      <c r="I31" s="28">
        <f t="shared" si="0"/>
        <v>0.90000000000000024</v>
      </c>
      <c r="M31" s="1">
        <f>$H$14</f>
        <v>0.18</v>
      </c>
      <c r="N31" s="1">
        <v>0.65</v>
      </c>
      <c r="O31" s="1">
        <f>N31+0.05</f>
        <v>0.70000000000000007</v>
      </c>
      <c r="P31" s="1">
        <f t="shared" ref="P31" si="1">O31+0.05</f>
        <v>0.75000000000000011</v>
      </c>
      <c r="Q31" s="1">
        <f t="shared" ref="Q31" si="2">P31+0.05</f>
        <v>0.80000000000000016</v>
      </c>
      <c r="R31" s="1">
        <f t="shared" ref="R31" si="3">Q31+0.05</f>
        <v>0.8500000000000002</v>
      </c>
      <c r="S31" s="1">
        <f t="shared" ref="S31" si="4">R31+0.05</f>
        <v>0.90000000000000024</v>
      </c>
    </row>
    <row r="32" spans="1:19" outlineLevel="1" x14ac:dyDescent="0.25">
      <c r="B32" s="11"/>
      <c r="C32" s="28">
        <v>0.6</v>
      </c>
      <c r="D32" s="1">
        <f t="dataTable" ref="D32:I39" dt2D="1" dtr="1" r1="D15" r2="E4" ca="1"/>
        <v>3.142857142857141E-2</v>
      </c>
      <c r="E32" s="1">
        <v>2.3333333333333289E-2</v>
      </c>
      <c r="F32" s="1">
        <v>1.1999999999999948E-2</v>
      </c>
      <c r="G32" s="1">
        <v>-5.0000000000000764E-3</v>
      </c>
      <c r="H32" s="1">
        <v>-3.3333333333333576E-2</v>
      </c>
      <c r="I32" s="1">
        <v>-9.000000000000051E-2</v>
      </c>
      <c r="L32" s="11" t="s">
        <v>30</v>
      </c>
      <c r="M32" s="1">
        <v>0.6</v>
      </c>
      <c r="N32" s="28">
        <f t="dataTable" ref="N32:S39" dt2D="1" dtr="1" r1="D15" r2="E4"/>
        <v>3.142857142857141E-2</v>
      </c>
      <c r="O32" s="28">
        <v>2.3333333333333289E-2</v>
      </c>
      <c r="P32" s="28">
        <v>1.1999999999999948E-2</v>
      </c>
      <c r="Q32" s="28">
        <v>-5.0000000000000764E-3</v>
      </c>
      <c r="R32" s="28">
        <v>-3.3333333333333576E-2</v>
      </c>
      <c r="S32" s="28">
        <v>-9.000000000000051E-2</v>
      </c>
    </row>
    <row r="33" spans="2:19" outlineLevel="1" x14ac:dyDescent="0.25">
      <c r="B33" s="11"/>
      <c r="C33" s="28">
        <f>C32+0.1</f>
        <v>0.7</v>
      </c>
      <c r="D33" s="1">
        <v>6.1428571428571409E-2</v>
      </c>
      <c r="E33" s="1">
        <v>5.83333333333333E-2</v>
      </c>
      <c r="F33" s="1">
        <v>5.3999999999999965E-2</v>
      </c>
      <c r="G33" s="1">
        <v>4.7499999999999959E-2</v>
      </c>
      <c r="H33" s="1">
        <v>3.6666666666666521E-2</v>
      </c>
      <c r="I33" s="1">
        <v>1.4999999999999746E-2</v>
      </c>
      <c r="M33" s="1">
        <f>M32+0.1</f>
        <v>0.7</v>
      </c>
      <c r="N33" s="28">
        <v>6.1428571428571409E-2</v>
      </c>
      <c r="O33" s="28">
        <v>5.83333333333333E-2</v>
      </c>
      <c r="P33" s="28">
        <v>5.3999999999999965E-2</v>
      </c>
      <c r="Q33" s="28">
        <v>4.7499999999999959E-2</v>
      </c>
      <c r="R33" s="28">
        <v>3.6666666666666521E-2</v>
      </c>
      <c r="S33" s="28">
        <v>1.4999999999999746E-2</v>
      </c>
    </row>
    <row r="34" spans="2:19" outlineLevel="1" x14ac:dyDescent="0.25">
      <c r="B34" s="11"/>
      <c r="C34" s="28">
        <f t="shared" ref="C34:C39" si="5">C33+0.1</f>
        <v>0.79999999999999993</v>
      </c>
      <c r="D34" s="1">
        <v>9.1428571428571415E-2</v>
      </c>
      <c r="E34" s="1">
        <v>9.333333333333331E-2</v>
      </c>
      <c r="F34" s="1">
        <v>9.5999999999999988E-2</v>
      </c>
      <c r="G34" s="1">
        <v>0.1</v>
      </c>
      <c r="H34" s="1">
        <v>0.10666666666666662</v>
      </c>
      <c r="I34" s="1">
        <v>0.12000000000000001</v>
      </c>
      <c r="M34" s="1">
        <f t="shared" ref="M34:M39" si="6">M33+0.1</f>
        <v>0.79999999999999993</v>
      </c>
      <c r="N34" s="28">
        <v>9.1428571428571415E-2</v>
      </c>
      <c r="O34" s="28">
        <v>9.333333333333331E-2</v>
      </c>
      <c r="P34" s="28">
        <v>9.5999999999999988E-2</v>
      </c>
      <c r="Q34" s="28">
        <v>0.1</v>
      </c>
      <c r="R34" s="28">
        <v>0.10666666666666662</v>
      </c>
      <c r="S34" s="28">
        <v>0.12000000000000001</v>
      </c>
    </row>
    <row r="35" spans="2:19" outlineLevel="1" x14ac:dyDescent="0.25">
      <c r="B35" s="11" t="s">
        <v>30</v>
      </c>
      <c r="C35" s="28">
        <f t="shared" si="5"/>
        <v>0.89999999999999991</v>
      </c>
      <c r="D35" s="1">
        <v>0.12142857142857137</v>
      </c>
      <c r="E35" s="1">
        <v>0.12833333333333327</v>
      </c>
      <c r="F35" s="1">
        <v>0.13799999999999996</v>
      </c>
      <c r="G35" s="1">
        <v>0.15249999999999997</v>
      </c>
      <c r="H35" s="1">
        <v>0.17666666666666661</v>
      </c>
      <c r="I35" s="1">
        <v>0.22500000000000012</v>
      </c>
      <c r="M35" s="1">
        <f t="shared" si="6"/>
        <v>0.89999999999999991</v>
      </c>
      <c r="N35" s="28">
        <v>0.12142857142857137</v>
      </c>
      <c r="O35" s="28">
        <v>0.12833333333333327</v>
      </c>
      <c r="P35" s="28">
        <v>0.13799999999999996</v>
      </c>
      <c r="Q35" s="28">
        <v>0.15249999999999997</v>
      </c>
      <c r="R35" s="28">
        <v>0.17666666666666661</v>
      </c>
      <c r="S35" s="28">
        <v>0.22500000000000012</v>
      </c>
    </row>
    <row r="36" spans="2:19" outlineLevel="1" x14ac:dyDescent="0.25">
      <c r="B36" s="11"/>
      <c r="C36" s="28">
        <f t="shared" si="5"/>
        <v>0.99999999999999989</v>
      </c>
      <c r="D36" s="1">
        <v>0.15142857142857136</v>
      </c>
      <c r="E36" s="1">
        <v>0.16333333333333327</v>
      </c>
      <c r="F36" s="1">
        <v>0.17999999999999997</v>
      </c>
      <c r="G36" s="1">
        <v>0.20500000000000002</v>
      </c>
      <c r="H36" s="1">
        <v>0.2466666666666667</v>
      </c>
      <c r="I36" s="1">
        <v>0.3300000000000004</v>
      </c>
      <c r="M36" s="1">
        <f t="shared" si="6"/>
        <v>0.99999999999999989</v>
      </c>
      <c r="N36" s="28">
        <v>0.15142857142857136</v>
      </c>
      <c r="O36" s="28">
        <v>0.16333333333333327</v>
      </c>
      <c r="P36" s="28">
        <v>0.17999999999999997</v>
      </c>
      <c r="Q36" s="28">
        <v>0.20500000000000002</v>
      </c>
      <c r="R36" s="28">
        <v>0.2466666666666667</v>
      </c>
      <c r="S36" s="28">
        <v>0.3300000000000004</v>
      </c>
    </row>
    <row r="37" spans="2:19" outlineLevel="1" x14ac:dyDescent="0.25">
      <c r="B37" s="11"/>
      <c r="C37" s="28">
        <f t="shared" si="5"/>
        <v>1.0999999999999999</v>
      </c>
      <c r="D37" s="1">
        <v>0.18142857142857136</v>
      </c>
      <c r="E37" s="1">
        <v>0.19833333333333328</v>
      </c>
      <c r="F37" s="1">
        <v>0.22199999999999998</v>
      </c>
      <c r="G37" s="1">
        <v>0.25750000000000006</v>
      </c>
      <c r="H37" s="1">
        <v>0.31666666666666682</v>
      </c>
      <c r="I37" s="1">
        <v>0.43500000000000066</v>
      </c>
      <c r="M37" s="1">
        <f t="shared" si="6"/>
        <v>1.0999999999999999</v>
      </c>
      <c r="N37" s="28">
        <v>0.18142857142857136</v>
      </c>
      <c r="O37" s="28">
        <v>0.19833333333333328</v>
      </c>
      <c r="P37" s="28">
        <v>0.22199999999999998</v>
      </c>
      <c r="Q37" s="28">
        <v>0.25750000000000006</v>
      </c>
      <c r="R37" s="28">
        <v>0.31666666666666682</v>
      </c>
      <c r="S37" s="28">
        <v>0.43500000000000066</v>
      </c>
    </row>
    <row r="38" spans="2:19" outlineLevel="1" x14ac:dyDescent="0.25">
      <c r="B38" s="11"/>
      <c r="C38" s="28">
        <f t="shared" si="5"/>
        <v>1.2</v>
      </c>
      <c r="D38" s="1">
        <v>0.21142857142857144</v>
      </c>
      <c r="E38" s="1">
        <v>0.23333333333333334</v>
      </c>
      <c r="F38" s="1">
        <v>0.26400000000000007</v>
      </c>
      <c r="G38" s="1">
        <v>0.31000000000000016</v>
      </c>
      <c r="H38" s="1">
        <v>0.38666666666666699</v>
      </c>
      <c r="I38" s="1">
        <v>0.54000000000000103</v>
      </c>
      <c r="M38" s="1">
        <f t="shared" si="6"/>
        <v>1.2</v>
      </c>
      <c r="N38" s="28">
        <v>0.21142857142857144</v>
      </c>
      <c r="O38" s="28">
        <v>0.23333333333333334</v>
      </c>
      <c r="P38" s="28">
        <v>0.26400000000000007</v>
      </c>
      <c r="Q38" s="28">
        <v>0.31000000000000016</v>
      </c>
      <c r="R38" s="28">
        <v>0.38666666666666699</v>
      </c>
      <c r="S38" s="28">
        <v>0.54000000000000103</v>
      </c>
    </row>
    <row r="39" spans="2:19" outlineLevel="1" x14ac:dyDescent="0.25">
      <c r="B39" s="11"/>
      <c r="C39" s="28">
        <f t="shared" si="5"/>
        <v>1.3</v>
      </c>
      <c r="D39" s="1">
        <v>0.24142857142857144</v>
      </c>
      <c r="E39" s="1">
        <v>0.26833333333333331</v>
      </c>
      <c r="F39" s="1">
        <v>0.30600000000000011</v>
      </c>
      <c r="G39" s="1">
        <v>0.36250000000000021</v>
      </c>
      <c r="H39" s="1">
        <v>0.45666666666666711</v>
      </c>
      <c r="I39" s="1">
        <v>0.64500000000000135</v>
      </c>
      <c r="M39" s="1">
        <f t="shared" si="6"/>
        <v>1.3</v>
      </c>
      <c r="N39" s="28">
        <v>0.24142857142857144</v>
      </c>
      <c r="O39" s="28">
        <v>0.26833333333333331</v>
      </c>
      <c r="P39" s="28">
        <v>0.30600000000000011</v>
      </c>
      <c r="Q39" s="28">
        <v>0.36250000000000021</v>
      </c>
      <c r="R39" s="28">
        <v>0.45666666666666711</v>
      </c>
      <c r="S39" s="28">
        <v>0.64500000000000135</v>
      </c>
    </row>
    <row r="40" spans="2:19" x14ac:dyDescent="0.25">
      <c r="B40" s="11"/>
    </row>
  </sheetData>
  <conditionalFormatting sqref="D32:I3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Leverage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Walsh</dc:creator>
  <cp:lastModifiedBy>Jaime Luque</cp:lastModifiedBy>
  <dcterms:created xsi:type="dcterms:W3CDTF">2010-07-23T01:35:09Z</dcterms:created>
  <dcterms:modified xsi:type="dcterms:W3CDTF">2016-03-29T16:13:44Z</dcterms:modified>
</cp:coreProperties>
</file>