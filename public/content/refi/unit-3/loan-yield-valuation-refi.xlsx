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fective Yield" sheetId="1" state="visible" r:id="rId3"/>
    <sheet name="Loan Valuation" sheetId="2" state="visible" r:id="rId4"/>
    <sheet name="Refin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<sst xmlns="http://schemas.openxmlformats.org/spreadsheetml/2006/main" count="43" uniqueCount="37">
  <si>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Effective Yield with Points &amp; Prepayment (II.6 / II.7)</t>
  </si>
  <si>
    <t xml:space="preserve">Cash flow</t>
  </si>
  <si>
    <t xml:space="preserve">Loan amount</t>
  </si>
  <si>
    <t xml:space="preserve">Coupon rate (annual)</t>
  </si>
  <si>
    <t xml:space="preserve">Amortization (years)</t>
  </si>
  <si>
    <t xml:space="preserve">Points (%)</t>
  </si>
  <si>
    <t xml:space="preserve">Prepay in year</t>
  </si>
  <si>
    <t xml:space="preserve">Prepay penalty (% of OLB)</t>
  </si>
  <si>
    <t xml:space="preserve">Monthly rate</t>
  </si>
  <si>
    <t xml:space="preserve">Months (amort)</t>
  </si>
  <si>
    <t xml:space="preserve">Monthly payment</t>
  </si>
  <si>
    <t xml:space="preserve">Net disbursed</t>
  </si>
  <si>
    <t xml:space="preserve">Prepay month</t>
  </si>
  <si>
    <t xml:space="preserve">OLB at prepay</t>
  </si>
  <si>
    <t xml:space="preserve">Effective annual yield</t>
  </si>
  <si>
    <t xml:space="preserve">Secondary-Market Loan Valuation (II.6)</t>
  </si>
  <si>
    <t xml:space="preserve">Original loan</t>
  </si>
  <si>
    <t xml:space="preserve">Coupon rate</t>
  </si>
  <si>
    <t xml:space="preserve">Loan age (years)</t>
  </si>
  <si>
    <t xml:space="preserve">Market yield</t>
  </si>
  <si>
    <t xml:space="preserve">Monthly coupon</t>
  </si>
  <si>
    <t xml:space="preserve">Months elapsed</t>
  </si>
  <si>
    <t xml:space="preserve">Outstanding balance</t>
  </si>
  <si>
    <t xml:space="preserve">Remaining months</t>
  </si>
  <si>
    <t xml:space="preserve">Market value (PV at market yield)</t>
  </si>
  <si>
    <t xml:space="preserve">Premium / (discount)</t>
  </si>
  <si>
    <t xml:space="preserve">Refinance / Loan Choice over a Horizon (II.8)</t>
  </si>
  <si>
    <t xml:space="preserve">Option A</t>
  </si>
  <si>
    <t xml:space="preserve">Option B</t>
  </si>
  <si>
    <t xml:space="preserve">A cf</t>
  </si>
  <si>
    <t xml:space="preserve">B cf</t>
  </si>
  <si>
    <t xml:space="preserve">Rate</t>
  </si>
  <si>
    <t xml:space="preserve">Points</t>
  </si>
  <si>
    <t xml:space="preserve">Holding horizon (years)</t>
  </si>
  <si>
    <t xml:space="preserve">OLB at horizon</t>
  </si>
  <si>
    <t xml:space="preserve">Effective annual cost</t>
  </si>
  <si>
    <t xml:space="preserve">Cheaper option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</si>
</sst>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"/>
    <numFmt numFmtId="166" formatCode="0.00%"/>
    <numFmt numFmtId="167" formatCode="0"/>
    <numFmt numFmtId="168" formatCode="0.0%"/>
    <numFmt numFmtId="169" formatCode="0.0000%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5C"/>
        <bgColor rgb="FF333333"/>
      </patternFill>
    </fill>
    <fill>
      <patternFill patternType="solid">
        <fgColor rgb="FFFFFDE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15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E3" s="2" t="s">
        <v>1</v>
      </c>
    </row>
    <row r="4" customFormat="false" ht="15" hidden="false" customHeight="false" outlineLevel="0" collapsed="false">
      <c r="B4" s="3" t="s">
        <v>2</v>
      </c>
      <c r="C4" s="4" t="n">
        <v>2000000</v>
      </c>
      <c r="E4" s="0" t="n">
        <f aca="false">-C14</f>
        <v>-1960000</v>
      </c>
    </row>
    <row r="5" customFormat="false" ht="15" hidden="false" customHeight="false" outlineLevel="0" collapsed="false">
      <c r="B5" s="3" t="s">
        <v>3</v>
      </c>
      <c r="C5" s="5" t="n">
        <v>0.075</v>
      </c>
      <c r="E5" s="6" t="n">
        <f aca="false">IF(1=C$15, C$13 + C$16*(1+C$9), IF(1&lt;C$15, C$13, 0))</f>
        <v>13984.2901710556</v>
      </c>
    </row>
    <row r="6" customFormat="false" ht="15" hidden="false" customHeight="false" outlineLevel="0" collapsed="false">
      <c r="B6" s="3" t="s">
        <v>4</v>
      </c>
      <c r="C6" s="7" t="n">
        <v>30</v>
      </c>
      <c r="E6" s="6" t="n">
        <f aca="false">IF(2=C$15, C$13 + C$16*(1+C$9), IF(2&lt;C$15, C$13, 0))</f>
        <v>13984.2901710556</v>
      </c>
    </row>
    <row r="7" customFormat="false" ht="15" hidden="false" customHeight="false" outlineLevel="0" collapsed="false">
      <c r="B7" s="3" t="s">
        <v>5</v>
      </c>
      <c r="C7" s="8" t="n">
        <v>0.02</v>
      </c>
      <c r="E7" s="6" t="n">
        <f aca="false">IF(3=C$15, C$13 + C$16*(1+C$9), IF(3&lt;C$15, C$13, 0))</f>
        <v>13984.2901710556</v>
      </c>
    </row>
    <row r="8" customFormat="false" ht="15" hidden="false" customHeight="false" outlineLevel="0" collapsed="false">
      <c r="B8" s="3" t="s">
        <v>6</v>
      </c>
      <c r="C8" s="7" t="n">
        <v>8</v>
      </c>
      <c r="E8" s="6" t="n">
        <f aca="false">IF(4=C$15, C$13 + C$16*(1+C$9), IF(4&lt;C$15, C$13, 0))</f>
        <v>13984.2901710556</v>
      </c>
    </row>
    <row r="9" customFormat="false" ht="15" hidden="false" customHeight="false" outlineLevel="0" collapsed="false">
      <c r="B9" s="3" t="s">
        <v>7</v>
      </c>
      <c r="C9" s="8" t="n">
        <v>0</v>
      </c>
      <c r="E9" s="6" t="n">
        <f aca="false">IF(5=C$15, C$13 + C$16*(1+C$9), IF(5&lt;C$15, C$13, 0))</f>
        <v>13984.2901710556</v>
      </c>
    </row>
    <row r="10" customFormat="false" ht="15" hidden="false" customHeight="false" outlineLevel="0" collapsed="false">
      <c r="E10" s="6" t="n">
        <f aca="false">IF(6=C$15, C$13 + C$16*(1+C$9), IF(6&lt;C$15, C$13, 0))</f>
        <v>13984.2901710556</v>
      </c>
    </row>
    <row r="11" customFormat="false" ht="15" hidden="false" customHeight="false" outlineLevel="0" collapsed="false">
      <c r="B11" s="0" t="s">
        <v>8</v>
      </c>
      <c r="C11" s="9" t="n">
        <f aca="false">C5/12</f>
        <v>0.00625</v>
      </c>
      <c r="E11" s="6" t="n">
        <f aca="false">IF(7=C$15, C$13 + C$16*(1+C$9), IF(7&lt;C$15, C$13, 0))</f>
        <v>13984.2901710556</v>
      </c>
    </row>
    <row r="12" customFormat="false" ht="15" hidden="false" customHeight="false" outlineLevel="0" collapsed="false">
      <c r="B12" s="0" t="s">
        <v>9</v>
      </c>
      <c r="C12" s="0" t="n">
        <f aca="false">C6*12</f>
        <v>360</v>
      </c>
      <c r="E12" s="6" t="n">
        <f aca="false">IF(8=C$15, C$13 + C$16*(1+C$9), IF(8&lt;C$15, C$13, 0))</f>
        <v>13984.2901710556</v>
      </c>
    </row>
    <row r="13" customFormat="false" ht="15" hidden="false" customHeight="false" outlineLevel="0" collapsed="false">
      <c r="B13" s="0" t="s">
        <v>10</v>
      </c>
      <c r="C13" s="6" t="n">
        <f aca="false">-PMT(C11,C12,C4)</f>
        <v>13984.2901710556</v>
      </c>
      <c r="E13" s="6" t="n">
        <f aca="false">IF(9=C$15, C$13 + C$16*(1+C$9), IF(9&lt;C$15, C$13, 0))</f>
        <v>13984.2901710556</v>
      </c>
    </row>
    <row r="14" customFormat="false" ht="15" hidden="false" customHeight="false" outlineLevel="0" collapsed="false">
      <c r="B14" s="0" t="s">
        <v>11</v>
      </c>
      <c r="C14" s="6" t="n">
        <f aca="false">C4*(1-C7)</f>
        <v>1960000</v>
      </c>
      <c r="E14" s="6" t="n">
        <f aca="false">IF(10=C$15, C$13 + C$16*(1+C$9), IF(10&lt;C$15, C$13, 0))</f>
        <v>13984.2901710556</v>
      </c>
    </row>
    <row r="15" customFormat="false" ht="15" hidden="false" customHeight="false" outlineLevel="0" collapsed="false">
      <c r="B15" s="0" t="s">
        <v>12</v>
      </c>
      <c r="C15" s="0" t="n">
        <f aca="false">C8*12</f>
        <v>96</v>
      </c>
      <c r="E15" s="6" t="n">
        <f aca="false">IF(11=C$15, C$13 + C$16*(1+C$9), IF(11&lt;C$15, C$13, 0))</f>
        <v>13984.2901710556</v>
      </c>
    </row>
    <row r="16" customFormat="false" ht="15" hidden="false" customHeight="false" outlineLevel="0" collapsed="false">
      <c r="B16" s="0" t="s">
        <v>13</v>
      </c>
      <c r="C16" s="6" t="n">
        <f aca="false">FV(C11,C15,C13,-C4)</f>
        <v>1805565.19031702</v>
      </c>
      <c r="E16" s="6" t="n">
        <f aca="false">IF(12=C$15, C$13 + C$16*(1+C$9), IF(12&lt;C$15, C$13, 0))</f>
        <v>13984.2901710556</v>
      </c>
    </row>
    <row r="17" customFormat="false" ht="15" hidden="false" customHeight="false" outlineLevel="0" collapsed="false">
      <c r="B17" s="0" t="s">
        <v>14</v>
      </c>
      <c r="C17" s="10" t="n">
        <f aca="false">IRR(E4:E100,C11)*12</f>
        <v>0.07850912790024</v>
      </c>
      <c r="E17" s="6" t="n">
        <f aca="false">IF(13=C$15, C$13 + C$16*(1+C$9), IF(13&lt;C$15, C$13, 0))</f>
        <v>13984.2901710556</v>
      </c>
    </row>
    <row r="18" customFormat="false" ht="15" hidden="false" customHeight="false" outlineLevel="0" collapsed="false">
      <c r="E18" s="6" t="n">
        <f aca="false">IF(14=C$15, C$13 + C$16*(1+C$9), IF(14&lt;C$15, C$13, 0))</f>
        <v>13984.2901710556</v>
      </c>
    </row>
    <row r="19" customFormat="false" ht="15" hidden="false" customHeight="false" outlineLevel="0" collapsed="false">
      <c r="E19" s="6" t="n">
        <f aca="false">IF(15=C$15, C$13 + C$16*(1+C$9), IF(15&lt;C$15, C$13, 0))</f>
        <v>13984.2901710556</v>
      </c>
    </row>
    <row r="20" customFormat="false" ht="15" hidden="false" customHeight="false" outlineLevel="0" collapsed="false">
      <c r="E20" s="6" t="n">
        <f aca="false">IF(16=C$15, C$13 + C$16*(1+C$9), IF(16&lt;C$15, C$13, 0))</f>
        <v>13984.2901710556</v>
      </c>
    </row>
    <row r="21" customFormat="false" ht="15" hidden="false" customHeight="false" outlineLevel="0" collapsed="false">
      <c r="E21" s="6" t="n">
        <f aca="false">IF(17=C$15, C$13 + C$16*(1+C$9), IF(17&lt;C$15, C$13, 0))</f>
        <v>13984.2901710556</v>
      </c>
    </row>
    <row r="22" customFormat="false" ht="15" hidden="false" customHeight="false" outlineLevel="0" collapsed="false">
      <c r="E22" s="6" t="n">
        <f aca="false">IF(18=C$15, C$13 + C$16*(1+C$9), IF(18&lt;C$15, C$13, 0))</f>
        <v>13984.2901710556</v>
      </c>
    </row>
    <row r="23" customFormat="false" ht="15" hidden="false" customHeight="false" outlineLevel="0" collapsed="false">
      <c r="E23" s="6" t="n">
        <f aca="false">IF(19=C$15, C$13 + C$16*(1+C$9), IF(19&lt;C$15, C$13, 0))</f>
        <v>13984.2901710556</v>
      </c>
    </row>
    <row r="24" customFormat="false" ht="15" hidden="false" customHeight="false" outlineLevel="0" collapsed="false">
      <c r="E24" s="6" t="n">
        <f aca="false">IF(20=C$15, C$13 + C$16*(1+C$9), IF(20&lt;C$15, C$13, 0))</f>
        <v>13984.2901710556</v>
      </c>
    </row>
    <row r="25" customFormat="false" ht="15" hidden="false" customHeight="false" outlineLevel="0" collapsed="false">
      <c r="E25" s="6" t="n">
        <f aca="false">IF(21=C$15, C$13 + C$16*(1+C$9), IF(21&lt;C$15, C$13, 0))</f>
        <v>13984.2901710556</v>
      </c>
    </row>
    <row r="26" customFormat="false" ht="15" hidden="false" customHeight="false" outlineLevel="0" collapsed="false">
      <c r="E26" s="6" t="n">
        <f aca="false">IF(22=C$15, C$13 + C$16*(1+C$9), IF(22&lt;C$15, C$13, 0))</f>
        <v>13984.2901710556</v>
      </c>
    </row>
    <row r="27" customFormat="false" ht="15" hidden="false" customHeight="false" outlineLevel="0" collapsed="false">
      <c r="E27" s="6" t="n">
        <f aca="false">IF(23=C$15, C$13 + C$16*(1+C$9), IF(23&lt;C$15, C$13, 0))</f>
        <v>13984.2901710556</v>
      </c>
    </row>
    <row r="28" customFormat="false" ht="15" hidden="false" customHeight="false" outlineLevel="0" collapsed="false">
      <c r="E28" s="6" t="n">
        <f aca="false">IF(24=C$15, C$13 + C$16*(1+C$9), IF(24&lt;C$15, C$13, 0))</f>
        <v>13984.2901710556</v>
      </c>
    </row>
    <row r="29" customFormat="false" ht="15" hidden="false" customHeight="false" outlineLevel="0" collapsed="false">
      <c r="E29" s="6" t="n">
        <f aca="false">IF(25=C$15, C$13 + C$16*(1+C$9), IF(25&lt;C$15, C$13, 0))</f>
        <v>13984.2901710556</v>
      </c>
    </row>
    <row r="30" customFormat="false" ht="15" hidden="false" customHeight="false" outlineLevel="0" collapsed="false">
      <c r="E30" s="6" t="n">
        <f aca="false">IF(26=C$15, C$13 + C$16*(1+C$9), IF(26&lt;C$15, C$13, 0))</f>
        <v>13984.2901710556</v>
      </c>
    </row>
    <row r="31" customFormat="false" ht="15" hidden="false" customHeight="false" outlineLevel="0" collapsed="false">
      <c r="E31" s="6" t="n">
        <f aca="false">IF(27=C$15, C$13 + C$16*(1+C$9), IF(27&lt;C$15, C$13, 0))</f>
        <v>13984.2901710556</v>
      </c>
    </row>
    <row r="32" customFormat="false" ht="15" hidden="false" customHeight="false" outlineLevel="0" collapsed="false">
      <c r="E32" s="6" t="n">
        <f aca="false">IF(28=C$15, C$13 + C$16*(1+C$9), IF(28&lt;C$15, C$13, 0))</f>
        <v>13984.2901710556</v>
      </c>
    </row>
    <row r="33" customFormat="false" ht="15" hidden="false" customHeight="false" outlineLevel="0" collapsed="false">
      <c r="E33" s="6" t="n">
        <f aca="false">IF(29=C$15, C$13 + C$16*(1+C$9), IF(29&lt;C$15, C$13, 0))</f>
        <v>13984.2901710556</v>
      </c>
    </row>
    <row r="34" customFormat="false" ht="15" hidden="false" customHeight="false" outlineLevel="0" collapsed="false">
      <c r="E34" s="6" t="n">
        <f aca="false">IF(30=C$15, C$13 + C$16*(1+C$9), IF(30&lt;C$15, C$13, 0))</f>
        <v>13984.2901710556</v>
      </c>
    </row>
    <row r="35" customFormat="false" ht="15" hidden="false" customHeight="false" outlineLevel="0" collapsed="false">
      <c r="E35" s="6" t="n">
        <f aca="false">IF(31=C$15, C$13 + C$16*(1+C$9), IF(31&lt;C$15, C$13, 0))</f>
        <v>13984.2901710556</v>
      </c>
    </row>
    <row r="36" customFormat="false" ht="15" hidden="false" customHeight="false" outlineLevel="0" collapsed="false">
      <c r="E36" s="6" t="n">
        <f aca="false">IF(32=C$15, C$13 + C$16*(1+C$9), IF(32&lt;C$15, C$13, 0))</f>
        <v>13984.2901710556</v>
      </c>
    </row>
    <row r="37" customFormat="false" ht="15" hidden="false" customHeight="false" outlineLevel="0" collapsed="false">
      <c r="E37" s="6" t="n">
        <f aca="false">IF(33=C$15, C$13 + C$16*(1+C$9), IF(33&lt;C$15, C$13, 0))</f>
        <v>13984.2901710556</v>
      </c>
    </row>
    <row r="38" customFormat="false" ht="15" hidden="false" customHeight="false" outlineLevel="0" collapsed="false">
      <c r="E38" s="6" t="n">
        <f aca="false">IF(34=C$15, C$13 + C$16*(1+C$9), IF(34&lt;C$15, C$13, 0))</f>
        <v>13984.2901710556</v>
      </c>
    </row>
    <row r="39" customFormat="false" ht="15" hidden="false" customHeight="false" outlineLevel="0" collapsed="false">
      <c r="E39" s="6" t="n">
        <f aca="false">IF(35=C$15, C$13 + C$16*(1+C$9), IF(35&lt;C$15, C$13, 0))</f>
        <v>13984.2901710556</v>
      </c>
    </row>
    <row r="40" customFormat="false" ht="15" hidden="false" customHeight="false" outlineLevel="0" collapsed="false">
      <c r="E40" s="6" t="n">
        <f aca="false">IF(36=C$15, C$13 + C$16*(1+C$9), IF(36&lt;C$15, C$13, 0))</f>
        <v>13984.2901710556</v>
      </c>
    </row>
    <row r="41" customFormat="false" ht="15" hidden="false" customHeight="false" outlineLevel="0" collapsed="false">
      <c r="E41" s="6" t="n">
        <f aca="false">IF(37=C$15, C$13 + C$16*(1+C$9), IF(37&lt;C$15, C$13, 0))</f>
        <v>13984.2901710556</v>
      </c>
    </row>
    <row r="42" customFormat="false" ht="15" hidden="false" customHeight="false" outlineLevel="0" collapsed="false">
      <c r="E42" s="6" t="n">
        <f aca="false">IF(38=C$15, C$13 + C$16*(1+C$9), IF(38&lt;C$15, C$13, 0))</f>
        <v>13984.2901710556</v>
      </c>
    </row>
    <row r="43" customFormat="false" ht="15" hidden="false" customHeight="false" outlineLevel="0" collapsed="false">
      <c r="E43" s="6" t="n">
        <f aca="false">IF(39=C$15, C$13 + C$16*(1+C$9), IF(39&lt;C$15, C$13, 0))</f>
        <v>13984.2901710556</v>
      </c>
    </row>
    <row r="44" customFormat="false" ht="15" hidden="false" customHeight="false" outlineLevel="0" collapsed="false">
      <c r="E44" s="6" t="n">
        <f aca="false">IF(40=C$15, C$13 + C$16*(1+C$9), IF(40&lt;C$15, C$13, 0))</f>
        <v>13984.2901710556</v>
      </c>
    </row>
    <row r="45" customFormat="false" ht="15" hidden="false" customHeight="false" outlineLevel="0" collapsed="false">
      <c r="E45" s="6" t="n">
        <f aca="false">IF(41=C$15, C$13 + C$16*(1+C$9), IF(41&lt;C$15, C$13, 0))</f>
        <v>13984.2901710556</v>
      </c>
    </row>
    <row r="46" customFormat="false" ht="15" hidden="false" customHeight="false" outlineLevel="0" collapsed="false">
      <c r="E46" s="6" t="n">
        <f aca="false">IF(42=C$15, C$13 + C$16*(1+C$9), IF(42&lt;C$15, C$13, 0))</f>
        <v>13984.2901710556</v>
      </c>
    </row>
    <row r="47" customFormat="false" ht="15" hidden="false" customHeight="false" outlineLevel="0" collapsed="false">
      <c r="E47" s="6" t="n">
        <f aca="false">IF(43=C$15, C$13 + C$16*(1+C$9), IF(43&lt;C$15, C$13, 0))</f>
        <v>13984.2901710556</v>
      </c>
    </row>
    <row r="48" customFormat="false" ht="15" hidden="false" customHeight="false" outlineLevel="0" collapsed="false">
      <c r="E48" s="6" t="n">
        <f aca="false">IF(44=C$15, C$13 + C$16*(1+C$9), IF(44&lt;C$15, C$13, 0))</f>
        <v>13984.2901710556</v>
      </c>
    </row>
    <row r="49" customFormat="false" ht="15" hidden="false" customHeight="false" outlineLevel="0" collapsed="false">
      <c r="E49" s="6" t="n">
        <f aca="false">IF(45=C$15, C$13 + C$16*(1+C$9), IF(45&lt;C$15, C$13, 0))</f>
        <v>13984.2901710556</v>
      </c>
    </row>
    <row r="50" customFormat="false" ht="15" hidden="false" customHeight="false" outlineLevel="0" collapsed="false">
      <c r="E50" s="6" t="n">
        <f aca="false">IF(46=C$15, C$13 + C$16*(1+C$9), IF(46&lt;C$15, C$13, 0))</f>
        <v>13984.2901710556</v>
      </c>
    </row>
    <row r="51" customFormat="false" ht="15" hidden="false" customHeight="false" outlineLevel="0" collapsed="false">
      <c r="E51" s="6" t="n">
        <f aca="false">IF(47=C$15, C$13 + C$16*(1+C$9), IF(47&lt;C$15, C$13, 0))</f>
        <v>13984.2901710556</v>
      </c>
    </row>
    <row r="52" customFormat="false" ht="15" hidden="false" customHeight="false" outlineLevel="0" collapsed="false">
      <c r="E52" s="6" t="n">
        <f aca="false">IF(48=C$15, C$13 + C$16*(1+C$9), IF(48&lt;C$15, C$13, 0))</f>
        <v>13984.2901710556</v>
      </c>
    </row>
    <row r="53" customFormat="false" ht="15" hidden="false" customHeight="false" outlineLevel="0" collapsed="false">
      <c r="E53" s="6" t="n">
        <f aca="false">IF(49=C$15, C$13 + C$16*(1+C$9), IF(49&lt;C$15, C$13, 0))</f>
        <v>13984.2901710556</v>
      </c>
    </row>
    <row r="54" customFormat="false" ht="15" hidden="false" customHeight="false" outlineLevel="0" collapsed="false">
      <c r="E54" s="6" t="n">
        <f aca="false">IF(50=C$15, C$13 + C$16*(1+C$9), IF(50&lt;C$15, C$13, 0))</f>
        <v>13984.2901710556</v>
      </c>
    </row>
    <row r="55" customFormat="false" ht="15" hidden="false" customHeight="false" outlineLevel="0" collapsed="false">
      <c r="E55" s="6" t="n">
        <f aca="false">IF(51=C$15, C$13 + C$16*(1+C$9), IF(51&lt;C$15, C$13, 0))</f>
        <v>13984.2901710556</v>
      </c>
    </row>
    <row r="56" customFormat="false" ht="15" hidden="false" customHeight="false" outlineLevel="0" collapsed="false">
      <c r="E56" s="6" t="n">
        <f aca="false">IF(52=C$15, C$13 + C$16*(1+C$9), IF(52&lt;C$15, C$13, 0))</f>
        <v>13984.2901710556</v>
      </c>
    </row>
    <row r="57" customFormat="false" ht="15" hidden="false" customHeight="false" outlineLevel="0" collapsed="false">
      <c r="E57" s="6" t="n">
        <f aca="false">IF(53=C$15, C$13 + C$16*(1+C$9), IF(53&lt;C$15, C$13, 0))</f>
        <v>13984.2901710556</v>
      </c>
    </row>
    <row r="58" customFormat="false" ht="15" hidden="false" customHeight="false" outlineLevel="0" collapsed="false">
      <c r="E58" s="6" t="n">
        <f aca="false">IF(54=C$15, C$13 + C$16*(1+C$9), IF(54&lt;C$15, C$13, 0))</f>
        <v>13984.2901710556</v>
      </c>
    </row>
    <row r="59" customFormat="false" ht="15" hidden="false" customHeight="false" outlineLevel="0" collapsed="false">
      <c r="E59" s="6" t="n">
        <f aca="false">IF(55=C$15, C$13 + C$16*(1+C$9), IF(55&lt;C$15, C$13, 0))</f>
        <v>13984.2901710556</v>
      </c>
    </row>
    <row r="60" customFormat="false" ht="15" hidden="false" customHeight="false" outlineLevel="0" collapsed="false">
      <c r="E60" s="6" t="n">
        <f aca="false">IF(56=C$15, C$13 + C$16*(1+C$9), IF(56&lt;C$15, C$13, 0))</f>
        <v>13984.2901710556</v>
      </c>
    </row>
    <row r="61" customFormat="false" ht="15" hidden="false" customHeight="false" outlineLevel="0" collapsed="false">
      <c r="E61" s="6" t="n">
        <f aca="false">IF(57=C$15, C$13 + C$16*(1+C$9), IF(57&lt;C$15, C$13, 0))</f>
        <v>13984.2901710556</v>
      </c>
    </row>
    <row r="62" customFormat="false" ht="15" hidden="false" customHeight="false" outlineLevel="0" collapsed="false">
      <c r="E62" s="6" t="n">
        <f aca="false">IF(58=C$15, C$13 + C$16*(1+C$9), IF(58&lt;C$15, C$13, 0))</f>
        <v>13984.2901710556</v>
      </c>
    </row>
    <row r="63" customFormat="false" ht="15" hidden="false" customHeight="false" outlineLevel="0" collapsed="false">
      <c r="E63" s="6" t="n">
        <f aca="false">IF(59=C$15, C$13 + C$16*(1+C$9), IF(59&lt;C$15, C$13, 0))</f>
        <v>13984.2901710556</v>
      </c>
    </row>
    <row r="64" customFormat="false" ht="15" hidden="false" customHeight="false" outlineLevel="0" collapsed="false">
      <c r="E64" s="6" t="n">
        <f aca="false">IF(60=C$15, C$13 + C$16*(1+C$9), IF(60&lt;C$15, C$13, 0))</f>
        <v>13984.2901710556</v>
      </c>
    </row>
    <row r="65" customFormat="false" ht="15" hidden="false" customHeight="false" outlineLevel="0" collapsed="false">
      <c r="E65" s="6" t="n">
        <f aca="false">IF(61=C$15, C$13 + C$16*(1+C$9), IF(61&lt;C$15, C$13, 0))</f>
        <v>13984.2901710556</v>
      </c>
    </row>
    <row r="66" customFormat="false" ht="15" hidden="false" customHeight="false" outlineLevel="0" collapsed="false">
      <c r="E66" s="6" t="n">
        <f aca="false">IF(62=C$15, C$13 + C$16*(1+C$9), IF(62&lt;C$15, C$13, 0))</f>
        <v>13984.2901710556</v>
      </c>
    </row>
    <row r="67" customFormat="false" ht="15" hidden="false" customHeight="false" outlineLevel="0" collapsed="false">
      <c r="E67" s="6" t="n">
        <f aca="false">IF(63=C$15, C$13 + C$16*(1+C$9), IF(63&lt;C$15, C$13, 0))</f>
        <v>13984.2901710556</v>
      </c>
    </row>
    <row r="68" customFormat="false" ht="15" hidden="false" customHeight="false" outlineLevel="0" collapsed="false">
      <c r="E68" s="6" t="n">
        <f aca="false">IF(64=C$15, C$13 + C$16*(1+C$9), IF(64&lt;C$15, C$13, 0))</f>
        <v>13984.2901710556</v>
      </c>
    </row>
    <row r="69" customFormat="false" ht="15" hidden="false" customHeight="false" outlineLevel="0" collapsed="false">
      <c r="E69" s="6" t="n">
        <f aca="false">IF(65=C$15, C$13 + C$16*(1+C$9), IF(65&lt;C$15, C$13, 0))</f>
        <v>13984.2901710556</v>
      </c>
    </row>
    <row r="70" customFormat="false" ht="15" hidden="false" customHeight="false" outlineLevel="0" collapsed="false">
      <c r="E70" s="6" t="n">
        <f aca="false">IF(66=C$15, C$13 + C$16*(1+C$9), IF(66&lt;C$15, C$13, 0))</f>
        <v>13984.2901710556</v>
      </c>
    </row>
    <row r="71" customFormat="false" ht="15" hidden="false" customHeight="false" outlineLevel="0" collapsed="false">
      <c r="E71" s="6" t="n">
        <f aca="false">IF(67=C$15, C$13 + C$16*(1+C$9), IF(67&lt;C$15, C$13, 0))</f>
        <v>13984.2901710556</v>
      </c>
    </row>
    <row r="72" customFormat="false" ht="15" hidden="false" customHeight="false" outlineLevel="0" collapsed="false">
      <c r="E72" s="6" t="n">
        <f aca="false">IF(68=C$15, C$13 + C$16*(1+C$9), IF(68&lt;C$15, C$13, 0))</f>
        <v>13984.2901710556</v>
      </c>
    </row>
    <row r="73" customFormat="false" ht="15" hidden="false" customHeight="false" outlineLevel="0" collapsed="false">
      <c r="E73" s="6" t="n">
        <f aca="false">IF(69=C$15, C$13 + C$16*(1+C$9), IF(69&lt;C$15, C$13, 0))</f>
        <v>13984.2901710556</v>
      </c>
    </row>
    <row r="74" customFormat="false" ht="15" hidden="false" customHeight="false" outlineLevel="0" collapsed="false">
      <c r="E74" s="6" t="n">
        <f aca="false">IF(70=C$15, C$13 + C$16*(1+C$9), IF(70&lt;C$15, C$13, 0))</f>
        <v>13984.2901710556</v>
      </c>
    </row>
    <row r="75" customFormat="false" ht="15" hidden="false" customHeight="false" outlineLevel="0" collapsed="false">
      <c r="E75" s="6" t="n">
        <f aca="false">IF(71=C$15, C$13 + C$16*(1+C$9), IF(71&lt;C$15, C$13, 0))</f>
        <v>13984.2901710556</v>
      </c>
    </row>
    <row r="76" customFormat="false" ht="15" hidden="false" customHeight="false" outlineLevel="0" collapsed="false">
      <c r="E76" s="6" t="n">
        <f aca="false">IF(72=C$15, C$13 + C$16*(1+C$9), IF(72&lt;C$15, C$13, 0))</f>
        <v>13984.2901710556</v>
      </c>
    </row>
    <row r="77" customFormat="false" ht="15" hidden="false" customHeight="false" outlineLevel="0" collapsed="false">
      <c r="E77" s="6" t="n">
        <f aca="false">IF(73=C$15, C$13 + C$16*(1+C$9), IF(73&lt;C$15, C$13, 0))</f>
        <v>13984.2901710556</v>
      </c>
    </row>
    <row r="78" customFormat="false" ht="15" hidden="false" customHeight="false" outlineLevel="0" collapsed="false">
      <c r="E78" s="6" t="n">
        <f aca="false">IF(74=C$15, C$13 + C$16*(1+C$9), IF(74&lt;C$15, C$13, 0))</f>
        <v>13984.2901710556</v>
      </c>
    </row>
    <row r="79" customFormat="false" ht="15" hidden="false" customHeight="false" outlineLevel="0" collapsed="false">
      <c r="E79" s="6" t="n">
        <f aca="false">IF(75=C$15, C$13 + C$16*(1+C$9), IF(75&lt;C$15, C$13, 0))</f>
        <v>13984.2901710556</v>
      </c>
    </row>
    <row r="80" customFormat="false" ht="15" hidden="false" customHeight="false" outlineLevel="0" collapsed="false">
      <c r="E80" s="6" t="n">
        <f aca="false">IF(76=C$15, C$13 + C$16*(1+C$9), IF(76&lt;C$15, C$13, 0))</f>
        <v>13984.2901710556</v>
      </c>
    </row>
    <row r="81" customFormat="false" ht="15" hidden="false" customHeight="false" outlineLevel="0" collapsed="false">
      <c r="E81" s="6" t="n">
        <f aca="false">IF(77=C$15, C$13 + C$16*(1+C$9), IF(77&lt;C$15, C$13, 0))</f>
        <v>13984.2901710556</v>
      </c>
    </row>
    <row r="82" customFormat="false" ht="15" hidden="false" customHeight="false" outlineLevel="0" collapsed="false">
      <c r="E82" s="6" t="n">
        <f aca="false">IF(78=C$15, C$13 + C$16*(1+C$9), IF(78&lt;C$15, C$13, 0))</f>
        <v>13984.2901710556</v>
      </c>
    </row>
    <row r="83" customFormat="false" ht="15" hidden="false" customHeight="false" outlineLevel="0" collapsed="false">
      <c r="E83" s="6" t="n">
        <f aca="false">IF(79=C$15, C$13 + C$16*(1+C$9), IF(79&lt;C$15, C$13, 0))</f>
        <v>13984.2901710556</v>
      </c>
    </row>
    <row r="84" customFormat="false" ht="15" hidden="false" customHeight="false" outlineLevel="0" collapsed="false">
      <c r="E84" s="6" t="n">
        <f aca="false">IF(80=C$15, C$13 + C$16*(1+C$9), IF(80&lt;C$15, C$13, 0))</f>
        <v>13984.2901710556</v>
      </c>
    </row>
    <row r="85" customFormat="false" ht="15" hidden="false" customHeight="false" outlineLevel="0" collapsed="false">
      <c r="E85" s="6" t="n">
        <f aca="false">IF(81=C$15, C$13 + C$16*(1+C$9), IF(81&lt;C$15, C$13, 0))</f>
        <v>13984.2901710556</v>
      </c>
    </row>
    <row r="86" customFormat="false" ht="15" hidden="false" customHeight="false" outlineLevel="0" collapsed="false">
      <c r="E86" s="6" t="n">
        <f aca="false">IF(82=C$15, C$13 + C$16*(1+C$9), IF(82&lt;C$15, C$13, 0))</f>
        <v>13984.2901710556</v>
      </c>
    </row>
    <row r="87" customFormat="false" ht="15" hidden="false" customHeight="false" outlineLevel="0" collapsed="false">
      <c r="E87" s="6" t="n">
        <f aca="false">IF(83=C$15, C$13 + C$16*(1+C$9), IF(83&lt;C$15, C$13, 0))</f>
        <v>13984.2901710556</v>
      </c>
    </row>
    <row r="88" customFormat="false" ht="15" hidden="false" customHeight="false" outlineLevel="0" collapsed="false">
      <c r="E88" s="6" t="n">
        <f aca="false">IF(84=C$15, C$13 + C$16*(1+C$9), IF(84&lt;C$15, C$13, 0))</f>
        <v>13984.2901710556</v>
      </c>
    </row>
    <row r="89" customFormat="false" ht="15" hidden="false" customHeight="false" outlineLevel="0" collapsed="false">
      <c r="E89" s="6" t="n">
        <f aca="false">IF(85=C$15, C$13 + C$16*(1+C$9), IF(85&lt;C$15, C$13, 0))</f>
        <v>13984.2901710556</v>
      </c>
    </row>
    <row r="90" customFormat="false" ht="15" hidden="false" customHeight="false" outlineLevel="0" collapsed="false">
      <c r="E90" s="6" t="n">
        <f aca="false">IF(86=C$15, C$13 + C$16*(1+C$9), IF(86&lt;C$15, C$13, 0))</f>
        <v>13984.2901710556</v>
      </c>
    </row>
    <row r="91" customFormat="false" ht="15" hidden="false" customHeight="false" outlineLevel="0" collapsed="false">
      <c r="E91" s="6" t="n">
        <f aca="false">IF(87=C$15, C$13 + C$16*(1+C$9), IF(87&lt;C$15, C$13, 0))</f>
        <v>13984.2901710556</v>
      </c>
    </row>
    <row r="92" customFormat="false" ht="15" hidden="false" customHeight="false" outlineLevel="0" collapsed="false">
      <c r="E92" s="6" t="n">
        <f aca="false">IF(88=C$15, C$13 + C$16*(1+C$9), IF(88&lt;C$15, C$13, 0))</f>
        <v>13984.2901710556</v>
      </c>
    </row>
    <row r="93" customFormat="false" ht="15" hidden="false" customHeight="false" outlineLevel="0" collapsed="false">
      <c r="E93" s="6" t="n">
        <f aca="false">IF(89=C$15, C$13 + C$16*(1+C$9), IF(89&lt;C$15, C$13, 0))</f>
        <v>13984.2901710556</v>
      </c>
    </row>
    <row r="94" customFormat="false" ht="15" hidden="false" customHeight="false" outlineLevel="0" collapsed="false">
      <c r="E94" s="6" t="n">
        <f aca="false">IF(90=C$15, C$13 + C$16*(1+C$9), IF(90&lt;C$15, C$13, 0))</f>
        <v>13984.2901710556</v>
      </c>
    </row>
    <row r="95" customFormat="false" ht="15" hidden="false" customHeight="false" outlineLevel="0" collapsed="false">
      <c r="E95" s="6" t="n">
        <f aca="false">IF(91=C$15, C$13 + C$16*(1+C$9), IF(91&lt;C$15, C$13, 0))</f>
        <v>13984.2901710556</v>
      </c>
    </row>
    <row r="96" customFormat="false" ht="15" hidden="false" customHeight="false" outlineLevel="0" collapsed="false">
      <c r="E96" s="6" t="n">
        <f aca="false">IF(92=C$15, C$13 + C$16*(1+C$9), IF(92&lt;C$15, C$13, 0))</f>
        <v>13984.2901710556</v>
      </c>
    </row>
    <row r="97" customFormat="false" ht="15" hidden="false" customHeight="false" outlineLevel="0" collapsed="false">
      <c r="E97" s="6" t="n">
        <f aca="false">IF(93=C$15, C$13 + C$16*(1+C$9), IF(93&lt;C$15, C$13, 0))</f>
        <v>13984.2901710556</v>
      </c>
    </row>
    <row r="98" customFormat="false" ht="15" hidden="false" customHeight="false" outlineLevel="0" collapsed="false">
      <c r="E98" s="6" t="n">
        <f aca="false">IF(94=C$15, C$13 + C$16*(1+C$9), IF(94&lt;C$15, C$13, 0))</f>
        <v>13984.2901710556</v>
      </c>
    </row>
    <row r="99" customFormat="false" ht="15" hidden="false" customHeight="false" outlineLevel="0" collapsed="false">
      <c r="E99" s="6" t="n">
        <f aca="false">IF(95=C$15, C$13 + C$16*(1+C$9), IF(95&lt;C$15, C$13, 0))</f>
        <v>13984.2901710556</v>
      </c>
    </row>
    <row r="100" customFormat="false" ht="15" hidden="false" customHeight="false" outlineLevel="0" collapsed="false">
      <c r="E100" s="6" t="n">
        <f aca="false">IF(96=C$15, C$13 + C$16*(1+C$9), IF(96&lt;C$15, C$13, 0))</f>
        <v>1819549.48048808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2"/>
    <col collapsed="false" customWidth="true" hidden="false" outlineLevel="0" max="3" min="3" style="0" width="16"/>
  </cols>
  <sheetData>
    <row r="2" customFormat="false" ht="16.15" hidden="false" customHeight="false" outlineLevel="0" collapsed="false">
      <c r="B2" s="1" t="s">
        <v>15</v>
      </c>
    </row>
    <row r="4" customFormat="false" ht="15" hidden="false" customHeight="false" outlineLevel="0" collapsed="false">
      <c r="B4" s="3" t="s">
        <v>16</v>
      </c>
      <c r="C4" s="4" t="n">
        <v>2000000</v>
      </c>
    </row>
    <row r="5" customFormat="false" ht="15" hidden="false" customHeight="false" outlineLevel="0" collapsed="false">
      <c r="B5" s="3" t="s">
        <v>17</v>
      </c>
      <c r="C5" s="5" t="n">
        <v>0.08</v>
      </c>
    </row>
    <row r="6" customFormat="false" ht="15" hidden="false" customHeight="false" outlineLevel="0" collapsed="false">
      <c r="B6" s="3" t="s">
        <v>4</v>
      </c>
      <c r="C6" s="7" t="n">
        <v>15</v>
      </c>
    </row>
    <row r="7" customFormat="false" ht="15" hidden="false" customHeight="false" outlineLevel="0" collapsed="false">
      <c r="B7" s="3" t="s">
        <v>18</v>
      </c>
      <c r="C7" s="7" t="n">
        <v>2</v>
      </c>
    </row>
    <row r="8" customFormat="false" ht="15" hidden="false" customHeight="false" outlineLevel="0" collapsed="false">
      <c r="B8" s="3" t="s">
        <v>19</v>
      </c>
      <c r="C8" s="5" t="n">
        <v>0.0725</v>
      </c>
    </row>
    <row r="10" customFormat="false" ht="15" hidden="false" customHeight="false" outlineLevel="0" collapsed="false">
      <c r="B10" s="0" t="s">
        <v>20</v>
      </c>
      <c r="C10" s="9" t="n">
        <f aca="false">C5/12</f>
        <v>0.00666666666666667</v>
      </c>
    </row>
    <row r="11" customFormat="false" ht="15" hidden="false" customHeight="false" outlineLevel="0" collapsed="false">
      <c r="B11" s="0" t="s">
        <v>10</v>
      </c>
      <c r="C11" s="6" t="n">
        <f aca="false">-PMT(C10,C6*12,C4)</f>
        <v>19113.041686607</v>
      </c>
    </row>
    <row r="12" customFormat="false" ht="15" hidden="false" customHeight="false" outlineLevel="0" collapsed="false">
      <c r="B12" s="0" t="s">
        <v>21</v>
      </c>
      <c r="C12" s="0" t="n">
        <f aca="false">C7*12</f>
        <v>24</v>
      </c>
    </row>
    <row r="13" customFormat="false" ht="15" hidden="false" customHeight="false" outlineLevel="0" collapsed="false">
      <c r="B13" s="0" t="s">
        <v>22</v>
      </c>
      <c r="C13" s="6" t="n">
        <f aca="false">FV(C10,C12,C11,-C4)</f>
        <v>1850113.72650671</v>
      </c>
    </row>
    <row r="14" customFormat="false" ht="15" hidden="false" customHeight="false" outlineLevel="0" collapsed="false">
      <c r="B14" s="0" t="s">
        <v>23</v>
      </c>
      <c r="C14" s="0" t="n">
        <f aca="false">C6*12-C12</f>
        <v>156</v>
      </c>
    </row>
    <row r="15" customFormat="false" ht="15" hidden="false" customHeight="false" outlineLevel="0" collapsed="false">
      <c r="B15" s="0" t="s">
        <v>24</v>
      </c>
      <c r="C15" s="11" t="n">
        <f aca="false">-PV(C8/12,C14,C11)</f>
        <v>1927357.01858701</v>
      </c>
    </row>
    <row r="16" customFormat="false" ht="15" hidden="false" customHeight="false" outlineLevel="0" collapsed="false">
      <c r="B16" s="0" t="s">
        <v>25</v>
      </c>
      <c r="C16" s="6" t="n">
        <f aca="false">C15-C13</f>
        <v>77243.2920802962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8" min="7" style="0" width="3"/>
    <col collapsed="false" customWidth="true" hidden="false" outlineLevel="0" max="10" min="9" style="0" width="13"/>
  </cols>
  <sheetData>
    <row r="2" customFormat="false" ht="16.15" hidden="false" customHeight="false" outlineLevel="0" collapsed="false">
      <c r="B2" s="1" t="s">
        <v>26</v>
      </c>
    </row>
    <row r="3" customFormat="false" ht="15" hidden="false" customHeight="false" outlineLevel="0" collapsed="false">
      <c r="E3" s="2" t="s">
        <v>27</v>
      </c>
      <c r="F3" s="2" t="s">
        <v>28</v>
      </c>
      <c r="I3" s="0" t="s">
        <v>29</v>
      </c>
      <c r="J3" s="0" t="s">
        <v>30</v>
      </c>
    </row>
    <row r="4" customFormat="false" ht="15" hidden="false" customHeight="false" outlineLevel="0" collapsed="false">
      <c r="B4" s="0" t="s">
        <v>2</v>
      </c>
      <c r="C4" s="4" t="n">
        <v>100000</v>
      </c>
      <c r="D4" s="0" t="s">
        <v>31</v>
      </c>
      <c r="E4" s="5" t="n">
        <v>0.06</v>
      </c>
      <c r="F4" s="5" t="n">
        <v>0.0675</v>
      </c>
      <c r="I4" s="0" t="n">
        <f aca="false">-E8</f>
        <v>-96000</v>
      </c>
      <c r="J4" s="0" t="n">
        <f aca="false">-F8</f>
        <v>-99500</v>
      </c>
    </row>
    <row r="5" customFormat="false" ht="15" hidden="false" customHeight="false" outlineLevel="0" collapsed="false">
      <c r="B5" s="0" t="s">
        <v>4</v>
      </c>
      <c r="C5" s="12" t="n">
        <v>30</v>
      </c>
      <c r="D5" s="0" t="s">
        <v>32</v>
      </c>
      <c r="E5" s="8" t="n">
        <v>0.04</v>
      </c>
      <c r="F5" s="8" t="n">
        <v>0.005</v>
      </c>
      <c r="I5" s="6" t="n">
        <f aca="false">IF(1=$C$6*12, E$7+E$9, IF(1&lt;$C$6*12, E$7, 0))</f>
        <v>599.550525152753</v>
      </c>
      <c r="J5" s="6" t="n">
        <f aca="false">IF(1=$C$6*12, F$7+F$9, IF(1&lt;$C$6*12, F$7, 0))</f>
        <v>648.598096568215</v>
      </c>
    </row>
    <row r="6" customFormat="false" ht="15" hidden="false" customHeight="false" outlineLevel="0" collapsed="false">
      <c r="B6" s="0" t="s">
        <v>33</v>
      </c>
      <c r="C6" s="12" t="n">
        <v>5</v>
      </c>
      <c r="I6" s="6" t="n">
        <f aca="false">IF(2=$C$6*12, E$7+E$9, IF(2&lt;$C$6*12, E$7, 0))</f>
        <v>599.550525152753</v>
      </c>
      <c r="J6" s="6" t="n">
        <f aca="false">IF(2=$C$6*12, F$7+F$9, IF(2&lt;$C$6*12, F$7, 0))</f>
        <v>648.598096568215</v>
      </c>
    </row>
    <row r="7" customFormat="false" ht="15" hidden="false" customHeight="false" outlineLevel="0" collapsed="false">
      <c r="D7" s="0" t="s">
        <v>10</v>
      </c>
      <c r="E7" s="6" t="n">
        <f aca="false">-PMT(E4/12,$C$5*12,$C$4)</f>
        <v>599.550525152753</v>
      </c>
      <c r="F7" s="6" t="n">
        <f aca="false">-PMT(F4/12,$C$5*12,$C$4)</f>
        <v>648.598096568215</v>
      </c>
      <c r="I7" s="6" t="n">
        <f aca="false">IF(3=$C$6*12, E$7+E$9, IF(3&lt;$C$6*12, E$7, 0))</f>
        <v>599.550525152753</v>
      </c>
      <c r="J7" s="6" t="n">
        <f aca="false">IF(3=$C$6*12, F$7+F$9, IF(3&lt;$C$6*12, F$7, 0))</f>
        <v>648.598096568215</v>
      </c>
    </row>
    <row r="8" customFormat="false" ht="15" hidden="false" customHeight="false" outlineLevel="0" collapsed="false">
      <c r="D8" s="0" t="s">
        <v>11</v>
      </c>
      <c r="E8" s="6" t="n">
        <f aca="false">$C$4*(1-E5)</f>
        <v>96000</v>
      </c>
      <c r="F8" s="6" t="n">
        <f aca="false">$C$4*(1-F5)</f>
        <v>99500</v>
      </c>
      <c r="I8" s="6" t="n">
        <f aca="false">IF(4=$C$6*12, E$7+E$9, IF(4&lt;$C$6*12, E$7, 0))</f>
        <v>599.550525152753</v>
      </c>
      <c r="J8" s="6" t="n">
        <f aca="false">IF(4=$C$6*12, F$7+F$9, IF(4&lt;$C$6*12, F$7, 0))</f>
        <v>648.598096568215</v>
      </c>
    </row>
    <row r="9" customFormat="false" ht="15" hidden="false" customHeight="false" outlineLevel="0" collapsed="false">
      <c r="D9" s="0" t="s">
        <v>34</v>
      </c>
      <c r="E9" s="6" t="n">
        <f aca="false">FV(E4/12,$C$6*12,E7,-$C$4)</f>
        <v>93054.3568228197</v>
      </c>
      <c r="F9" s="6" t="n">
        <f aca="false">FV(F4/12,$C$6*12,F7,-$C$4)</f>
        <v>93875.70953728</v>
      </c>
      <c r="I9" s="6" t="n">
        <f aca="false">IF(5=$C$6*12, E$7+E$9, IF(5&lt;$C$6*12, E$7, 0))</f>
        <v>599.550525152753</v>
      </c>
      <c r="J9" s="6" t="n">
        <f aca="false">IF(5=$C$6*12, F$7+F$9, IF(5&lt;$C$6*12, F$7, 0))</f>
        <v>648.598096568215</v>
      </c>
    </row>
    <row r="10" customFormat="false" ht="15" hidden="false" customHeight="false" outlineLevel="0" collapsed="false">
      <c r="D10" s="0" t="s">
        <v>35</v>
      </c>
      <c r="E10" s="10" t="n">
        <f aca="false">IRR(I4:I100,E4/12)*12</f>
        <v>0.0697980839134231</v>
      </c>
      <c r="F10" s="10" t="n">
        <f aca="false">IRR(J4:J100,F4/12)*12</f>
        <v>0.0687168902590299</v>
      </c>
      <c r="I10" s="6" t="n">
        <f aca="false">IF(6=$C$6*12, E$7+E$9, IF(6&lt;$C$6*12, E$7, 0))</f>
        <v>599.550525152753</v>
      </c>
      <c r="J10" s="6" t="n">
        <f aca="false">IF(6=$C$6*12, F$7+F$9, IF(6&lt;$C$6*12, F$7, 0))</f>
        <v>648.598096568215</v>
      </c>
    </row>
    <row r="11" customFormat="false" ht="15" hidden="false" customHeight="false" outlineLevel="0" collapsed="false">
      <c r="I11" s="6" t="n">
        <f aca="false">IF(7=$C$6*12, E$7+E$9, IF(7&lt;$C$6*12, E$7, 0))</f>
        <v>599.550525152753</v>
      </c>
      <c r="J11" s="6" t="n">
        <f aca="false">IF(7=$C$6*12, F$7+F$9, IF(7&lt;$C$6*12, F$7, 0))</f>
        <v>648.598096568215</v>
      </c>
    </row>
    <row r="12" customFormat="false" ht="15" hidden="false" customHeight="false" outlineLevel="0" collapsed="false">
      <c r="D12" s="0" t="s">
        <v>36</v>
      </c>
      <c r="E12" s="3" t="str">
        <f aca="false">IF(E10&lt;=F10,"Option A","Option B")</f>
        <v>Option B</v>
      </c>
      <c r="I12" s="6" t="n">
        <f aca="false">IF(8=$C$6*12, E$7+E$9, IF(8&lt;$C$6*12, E$7, 0))</f>
        <v>599.550525152753</v>
      </c>
      <c r="J12" s="6" t="n">
        <f aca="false">IF(8=$C$6*12, F$7+F$9, IF(8&lt;$C$6*12, F$7, 0))</f>
        <v>648.598096568215</v>
      </c>
    </row>
    <row r="13" customFormat="false" ht="15" hidden="false" customHeight="false" outlineLevel="0" collapsed="false">
      <c r="I13" s="6" t="n">
        <f aca="false">IF(9=$C$6*12, E$7+E$9, IF(9&lt;$C$6*12, E$7, 0))</f>
        <v>599.550525152753</v>
      </c>
      <c r="J13" s="6" t="n">
        <f aca="false">IF(9=$C$6*12, F$7+F$9, IF(9&lt;$C$6*12, F$7, 0))</f>
        <v>648.598096568215</v>
      </c>
    </row>
    <row r="14" customFormat="false" ht="15" hidden="false" customHeight="false" outlineLevel="0" collapsed="false">
      <c r="I14" s="6" t="n">
        <f aca="false">IF(10=$C$6*12, E$7+E$9, IF(10&lt;$C$6*12, E$7, 0))</f>
        <v>599.550525152753</v>
      </c>
      <c r="J14" s="6" t="n">
        <f aca="false">IF(10=$C$6*12, F$7+F$9, IF(10&lt;$C$6*12, F$7, 0))</f>
        <v>648.598096568215</v>
      </c>
    </row>
    <row r="15" customFormat="false" ht="15" hidden="false" customHeight="false" outlineLevel="0" collapsed="false">
      <c r="I15" s="6" t="n">
        <f aca="false">IF(11=$C$6*12, E$7+E$9, IF(11&lt;$C$6*12, E$7, 0))</f>
        <v>599.550525152753</v>
      </c>
      <c r="J15" s="6" t="n">
        <f aca="false">IF(11=$C$6*12, F$7+F$9, IF(11&lt;$C$6*12, F$7, 0))</f>
        <v>648.598096568215</v>
      </c>
    </row>
    <row r="16" customFormat="false" ht="15" hidden="false" customHeight="false" outlineLevel="0" collapsed="false">
      <c r="I16" s="6" t="n">
        <f aca="false">IF(12=$C$6*12, E$7+E$9, IF(12&lt;$C$6*12, E$7, 0))</f>
        <v>599.550525152753</v>
      </c>
      <c r="J16" s="6" t="n">
        <f aca="false">IF(12=$C$6*12, F$7+F$9, IF(12&lt;$C$6*12, F$7, 0))</f>
        <v>648.598096568215</v>
      </c>
    </row>
    <row r="17" customFormat="false" ht="15" hidden="false" customHeight="false" outlineLevel="0" collapsed="false">
      <c r="I17" s="6" t="n">
        <f aca="false">IF(13=$C$6*12, E$7+E$9, IF(13&lt;$C$6*12, E$7, 0))</f>
        <v>599.550525152753</v>
      </c>
      <c r="J17" s="6" t="n">
        <f aca="false">IF(13=$C$6*12, F$7+F$9, IF(13&lt;$C$6*12, F$7, 0))</f>
        <v>648.598096568215</v>
      </c>
    </row>
    <row r="18" customFormat="false" ht="15" hidden="false" customHeight="false" outlineLevel="0" collapsed="false">
      <c r="I18" s="6" t="n">
        <f aca="false">IF(14=$C$6*12, E$7+E$9, IF(14&lt;$C$6*12, E$7, 0))</f>
        <v>599.550525152753</v>
      </c>
      <c r="J18" s="6" t="n">
        <f aca="false">IF(14=$C$6*12, F$7+F$9, IF(14&lt;$C$6*12, F$7, 0))</f>
        <v>648.598096568215</v>
      </c>
    </row>
    <row r="19" customFormat="false" ht="15" hidden="false" customHeight="false" outlineLevel="0" collapsed="false">
      <c r="I19" s="6" t="n">
        <f aca="false">IF(15=$C$6*12, E$7+E$9, IF(15&lt;$C$6*12, E$7, 0))</f>
        <v>599.550525152753</v>
      </c>
      <c r="J19" s="6" t="n">
        <f aca="false">IF(15=$C$6*12, F$7+F$9, IF(15&lt;$C$6*12, F$7, 0))</f>
        <v>648.598096568215</v>
      </c>
    </row>
    <row r="20" customFormat="false" ht="15" hidden="false" customHeight="false" outlineLevel="0" collapsed="false">
      <c r="I20" s="6" t="n">
        <f aca="false">IF(16=$C$6*12, E$7+E$9, IF(16&lt;$C$6*12, E$7, 0))</f>
        <v>599.550525152753</v>
      </c>
      <c r="J20" s="6" t="n">
        <f aca="false">IF(16=$C$6*12, F$7+F$9, IF(16&lt;$C$6*12, F$7, 0))</f>
        <v>648.598096568215</v>
      </c>
    </row>
    <row r="21" customFormat="false" ht="15" hidden="false" customHeight="false" outlineLevel="0" collapsed="false">
      <c r="I21" s="6" t="n">
        <f aca="false">IF(17=$C$6*12, E$7+E$9, IF(17&lt;$C$6*12, E$7, 0))</f>
        <v>599.550525152753</v>
      </c>
      <c r="J21" s="6" t="n">
        <f aca="false">IF(17=$C$6*12, F$7+F$9, IF(17&lt;$C$6*12, F$7, 0))</f>
        <v>648.598096568215</v>
      </c>
    </row>
    <row r="22" customFormat="false" ht="15" hidden="false" customHeight="false" outlineLevel="0" collapsed="false">
      <c r="I22" s="6" t="n">
        <f aca="false">IF(18=$C$6*12, E$7+E$9, IF(18&lt;$C$6*12, E$7, 0))</f>
        <v>599.550525152753</v>
      </c>
      <c r="J22" s="6" t="n">
        <f aca="false">IF(18=$C$6*12, F$7+F$9, IF(18&lt;$C$6*12, F$7, 0))</f>
        <v>648.598096568215</v>
      </c>
    </row>
    <row r="23" customFormat="false" ht="15" hidden="false" customHeight="false" outlineLevel="0" collapsed="false">
      <c r="I23" s="6" t="n">
        <f aca="false">IF(19=$C$6*12, E$7+E$9, IF(19&lt;$C$6*12, E$7, 0))</f>
        <v>599.550525152753</v>
      </c>
      <c r="J23" s="6" t="n">
        <f aca="false">IF(19=$C$6*12, F$7+F$9, IF(19&lt;$C$6*12, F$7, 0))</f>
        <v>648.598096568215</v>
      </c>
    </row>
    <row r="24" customFormat="false" ht="15" hidden="false" customHeight="false" outlineLevel="0" collapsed="false">
      <c r="I24" s="6" t="n">
        <f aca="false">IF(20=$C$6*12, E$7+E$9, IF(20&lt;$C$6*12, E$7, 0))</f>
        <v>599.550525152753</v>
      </c>
      <c r="J24" s="6" t="n">
        <f aca="false">IF(20=$C$6*12, F$7+F$9, IF(20&lt;$C$6*12, F$7, 0))</f>
        <v>648.598096568215</v>
      </c>
    </row>
    <row r="25" customFormat="false" ht="15" hidden="false" customHeight="false" outlineLevel="0" collapsed="false">
      <c r="I25" s="6" t="n">
        <f aca="false">IF(21=$C$6*12, E$7+E$9, IF(21&lt;$C$6*12, E$7, 0))</f>
        <v>599.550525152753</v>
      </c>
      <c r="J25" s="6" t="n">
        <f aca="false">IF(21=$C$6*12, F$7+F$9, IF(21&lt;$C$6*12, F$7, 0))</f>
        <v>648.598096568215</v>
      </c>
    </row>
    <row r="26" customFormat="false" ht="15" hidden="false" customHeight="false" outlineLevel="0" collapsed="false">
      <c r="I26" s="6" t="n">
        <f aca="false">IF(22=$C$6*12, E$7+E$9, IF(22&lt;$C$6*12, E$7, 0))</f>
        <v>599.550525152753</v>
      </c>
      <c r="J26" s="6" t="n">
        <f aca="false">IF(22=$C$6*12, F$7+F$9, IF(22&lt;$C$6*12, F$7, 0))</f>
        <v>648.598096568215</v>
      </c>
    </row>
    <row r="27" customFormat="false" ht="15" hidden="false" customHeight="false" outlineLevel="0" collapsed="false">
      <c r="I27" s="6" t="n">
        <f aca="false">IF(23=$C$6*12, E$7+E$9, IF(23&lt;$C$6*12, E$7, 0))</f>
        <v>599.550525152753</v>
      </c>
      <c r="J27" s="6" t="n">
        <f aca="false">IF(23=$C$6*12, F$7+F$9, IF(23&lt;$C$6*12, F$7, 0))</f>
        <v>648.598096568215</v>
      </c>
    </row>
    <row r="28" customFormat="false" ht="15" hidden="false" customHeight="false" outlineLevel="0" collapsed="false">
      <c r="I28" s="6" t="n">
        <f aca="false">IF(24=$C$6*12, E$7+E$9, IF(24&lt;$C$6*12, E$7, 0))</f>
        <v>599.550525152753</v>
      </c>
      <c r="J28" s="6" t="n">
        <f aca="false">IF(24=$C$6*12, F$7+F$9, IF(24&lt;$C$6*12, F$7, 0))</f>
        <v>648.598096568215</v>
      </c>
    </row>
    <row r="29" customFormat="false" ht="15" hidden="false" customHeight="false" outlineLevel="0" collapsed="false">
      <c r="I29" s="6" t="n">
        <f aca="false">IF(25=$C$6*12, E$7+E$9, IF(25&lt;$C$6*12, E$7, 0))</f>
        <v>599.550525152753</v>
      </c>
      <c r="J29" s="6" t="n">
        <f aca="false">IF(25=$C$6*12, F$7+F$9, IF(25&lt;$C$6*12, F$7, 0))</f>
        <v>648.598096568215</v>
      </c>
    </row>
    <row r="30" customFormat="false" ht="15" hidden="false" customHeight="false" outlineLevel="0" collapsed="false">
      <c r="I30" s="6" t="n">
        <f aca="false">IF(26=$C$6*12, E$7+E$9, IF(26&lt;$C$6*12, E$7, 0))</f>
        <v>599.550525152753</v>
      </c>
      <c r="J30" s="6" t="n">
        <f aca="false">IF(26=$C$6*12, F$7+F$9, IF(26&lt;$C$6*12, F$7, 0))</f>
        <v>648.598096568215</v>
      </c>
    </row>
    <row r="31" customFormat="false" ht="15" hidden="false" customHeight="false" outlineLevel="0" collapsed="false">
      <c r="I31" s="6" t="n">
        <f aca="false">IF(27=$C$6*12, E$7+E$9, IF(27&lt;$C$6*12, E$7, 0))</f>
        <v>599.550525152753</v>
      </c>
      <c r="J31" s="6" t="n">
        <f aca="false">IF(27=$C$6*12, F$7+F$9, IF(27&lt;$C$6*12, F$7, 0))</f>
        <v>648.598096568215</v>
      </c>
    </row>
    <row r="32" customFormat="false" ht="15" hidden="false" customHeight="false" outlineLevel="0" collapsed="false">
      <c r="I32" s="6" t="n">
        <f aca="false">IF(28=$C$6*12, E$7+E$9, IF(28&lt;$C$6*12, E$7, 0))</f>
        <v>599.550525152753</v>
      </c>
      <c r="J32" s="6" t="n">
        <f aca="false">IF(28=$C$6*12, F$7+F$9, IF(28&lt;$C$6*12, F$7, 0))</f>
        <v>648.598096568215</v>
      </c>
    </row>
    <row r="33" customFormat="false" ht="15" hidden="false" customHeight="false" outlineLevel="0" collapsed="false">
      <c r="I33" s="6" t="n">
        <f aca="false">IF(29=$C$6*12, E$7+E$9, IF(29&lt;$C$6*12, E$7, 0))</f>
        <v>599.550525152753</v>
      </c>
      <c r="J33" s="6" t="n">
        <f aca="false">IF(29=$C$6*12, F$7+F$9, IF(29&lt;$C$6*12, F$7, 0))</f>
        <v>648.598096568215</v>
      </c>
    </row>
    <row r="34" customFormat="false" ht="15" hidden="false" customHeight="false" outlineLevel="0" collapsed="false">
      <c r="I34" s="6" t="n">
        <f aca="false">IF(30=$C$6*12, E$7+E$9, IF(30&lt;$C$6*12, E$7, 0))</f>
        <v>599.550525152753</v>
      </c>
      <c r="J34" s="6" t="n">
        <f aca="false">IF(30=$C$6*12, F$7+F$9, IF(30&lt;$C$6*12, F$7, 0))</f>
        <v>648.598096568215</v>
      </c>
    </row>
    <row r="35" customFormat="false" ht="15" hidden="false" customHeight="false" outlineLevel="0" collapsed="false">
      <c r="I35" s="6" t="n">
        <f aca="false">IF(31=$C$6*12, E$7+E$9, IF(31&lt;$C$6*12, E$7, 0))</f>
        <v>599.550525152753</v>
      </c>
      <c r="J35" s="6" t="n">
        <f aca="false">IF(31=$C$6*12, F$7+F$9, IF(31&lt;$C$6*12, F$7, 0))</f>
        <v>648.598096568215</v>
      </c>
    </row>
    <row r="36" customFormat="false" ht="15" hidden="false" customHeight="false" outlineLevel="0" collapsed="false">
      <c r="I36" s="6" t="n">
        <f aca="false">IF(32=$C$6*12, E$7+E$9, IF(32&lt;$C$6*12, E$7, 0))</f>
        <v>599.550525152753</v>
      </c>
      <c r="J36" s="6" t="n">
        <f aca="false">IF(32=$C$6*12, F$7+F$9, IF(32&lt;$C$6*12, F$7, 0))</f>
        <v>648.598096568215</v>
      </c>
    </row>
    <row r="37" customFormat="false" ht="15" hidden="false" customHeight="false" outlineLevel="0" collapsed="false">
      <c r="I37" s="6" t="n">
        <f aca="false">IF(33=$C$6*12, E$7+E$9, IF(33&lt;$C$6*12, E$7, 0))</f>
        <v>599.550525152753</v>
      </c>
      <c r="J37" s="6" t="n">
        <f aca="false">IF(33=$C$6*12, F$7+F$9, IF(33&lt;$C$6*12, F$7, 0))</f>
        <v>648.598096568215</v>
      </c>
    </row>
    <row r="38" customFormat="false" ht="15" hidden="false" customHeight="false" outlineLevel="0" collapsed="false">
      <c r="I38" s="6" t="n">
        <f aca="false">IF(34=$C$6*12, E$7+E$9, IF(34&lt;$C$6*12, E$7, 0))</f>
        <v>599.550525152753</v>
      </c>
      <c r="J38" s="6" t="n">
        <f aca="false">IF(34=$C$6*12, F$7+F$9, IF(34&lt;$C$6*12, F$7, 0))</f>
        <v>648.598096568215</v>
      </c>
    </row>
    <row r="39" customFormat="false" ht="15" hidden="false" customHeight="false" outlineLevel="0" collapsed="false">
      <c r="I39" s="6" t="n">
        <f aca="false">IF(35=$C$6*12, E$7+E$9, IF(35&lt;$C$6*12, E$7, 0))</f>
        <v>599.550525152753</v>
      </c>
      <c r="J39" s="6" t="n">
        <f aca="false">IF(35=$C$6*12, F$7+F$9, IF(35&lt;$C$6*12, F$7, 0))</f>
        <v>648.598096568215</v>
      </c>
    </row>
    <row r="40" customFormat="false" ht="15" hidden="false" customHeight="false" outlineLevel="0" collapsed="false">
      <c r="I40" s="6" t="n">
        <f aca="false">IF(36=$C$6*12, E$7+E$9, IF(36&lt;$C$6*12, E$7, 0))</f>
        <v>599.550525152753</v>
      </c>
      <c r="J40" s="6" t="n">
        <f aca="false">IF(36=$C$6*12, F$7+F$9, IF(36&lt;$C$6*12, F$7, 0))</f>
        <v>648.598096568215</v>
      </c>
    </row>
    <row r="41" customFormat="false" ht="15" hidden="false" customHeight="false" outlineLevel="0" collapsed="false">
      <c r="I41" s="6" t="n">
        <f aca="false">IF(37=$C$6*12, E$7+E$9, IF(37&lt;$C$6*12, E$7, 0))</f>
        <v>599.550525152753</v>
      </c>
      <c r="J41" s="6" t="n">
        <f aca="false">IF(37=$C$6*12, F$7+F$9, IF(37&lt;$C$6*12, F$7, 0))</f>
        <v>648.598096568215</v>
      </c>
    </row>
    <row r="42" customFormat="false" ht="15" hidden="false" customHeight="false" outlineLevel="0" collapsed="false">
      <c r="I42" s="6" t="n">
        <f aca="false">IF(38=$C$6*12, E$7+E$9, IF(38&lt;$C$6*12, E$7, 0))</f>
        <v>599.550525152753</v>
      </c>
      <c r="J42" s="6" t="n">
        <f aca="false">IF(38=$C$6*12, F$7+F$9, IF(38&lt;$C$6*12, F$7, 0))</f>
        <v>648.598096568215</v>
      </c>
    </row>
    <row r="43" customFormat="false" ht="15" hidden="false" customHeight="false" outlineLevel="0" collapsed="false">
      <c r="I43" s="6" t="n">
        <f aca="false">IF(39=$C$6*12, E$7+E$9, IF(39&lt;$C$6*12, E$7, 0))</f>
        <v>599.550525152753</v>
      </c>
      <c r="J43" s="6" t="n">
        <f aca="false">IF(39=$C$6*12, F$7+F$9, IF(39&lt;$C$6*12, F$7, 0))</f>
        <v>648.598096568215</v>
      </c>
    </row>
    <row r="44" customFormat="false" ht="15" hidden="false" customHeight="false" outlineLevel="0" collapsed="false">
      <c r="I44" s="6" t="n">
        <f aca="false">IF(40=$C$6*12, E$7+E$9, IF(40&lt;$C$6*12, E$7, 0))</f>
        <v>599.550525152753</v>
      </c>
      <c r="J44" s="6" t="n">
        <f aca="false">IF(40=$C$6*12, F$7+F$9, IF(40&lt;$C$6*12, F$7, 0))</f>
        <v>648.598096568215</v>
      </c>
    </row>
    <row r="45" customFormat="false" ht="15" hidden="false" customHeight="false" outlineLevel="0" collapsed="false">
      <c r="I45" s="6" t="n">
        <f aca="false">IF(41=$C$6*12, E$7+E$9, IF(41&lt;$C$6*12, E$7, 0))</f>
        <v>599.550525152753</v>
      </c>
      <c r="J45" s="6" t="n">
        <f aca="false">IF(41=$C$6*12, F$7+F$9, IF(41&lt;$C$6*12, F$7, 0))</f>
        <v>648.598096568215</v>
      </c>
    </row>
    <row r="46" customFormat="false" ht="15" hidden="false" customHeight="false" outlineLevel="0" collapsed="false">
      <c r="I46" s="6" t="n">
        <f aca="false">IF(42=$C$6*12, E$7+E$9, IF(42&lt;$C$6*12, E$7, 0))</f>
        <v>599.550525152753</v>
      </c>
      <c r="J46" s="6" t="n">
        <f aca="false">IF(42=$C$6*12, F$7+F$9, IF(42&lt;$C$6*12, F$7, 0))</f>
        <v>648.598096568215</v>
      </c>
    </row>
    <row r="47" customFormat="false" ht="15" hidden="false" customHeight="false" outlineLevel="0" collapsed="false">
      <c r="I47" s="6" t="n">
        <f aca="false">IF(43=$C$6*12, E$7+E$9, IF(43&lt;$C$6*12, E$7, 0))</f>
        <v>599.550525152753</v>
      </c>
      <c r="J47" s="6" t="n">
        <f aca="false">IF(43=$C$6*12, F$7+F$9, IF(43&lt;$C$6*12, F$7, 0))</f>
        <v>648.598096568215</v>
      </c>
    </row>
    <row r="48" customFormat="false" ht="15" hidden="false" customHeight="false" outlineLevel="0" collapsed="false">
      <c r="I48" s="6" t="n">
        <f aca="false">IF(44=$C$6*12, E$7+E$9, IF(44&lt;$C$6*12, E$7, 0))</f>
        <v>599.550525152753</v>
      </c>
      <c r="J48" s="6" t="n">
        <f aca="false">IF(44=$C$6*12, F$7+F$9, IF(44&lt;$C$6*12, F$7, 0))</f>
        <v>648.598096568215</v>
      </c>
    </row>
    <row r="49" customFormat="false" ht="15" hidden="false" customHeight="false" outlineLevel="0" collapsed="false">
      <c r="I49" s="6" t="n">
        <f aca="false">IF(45=$C$6*12, E$7+E$9, IF(45&lt;$C$6*12, E$7, 0))</f>
        <v>599.550525152753</v>
      </c>
      <c r="J49" s="6" t="n">
        <f aca="false">IF(45=$C$6*12, F$7+F$9, IF(45&lt;$C$6*12, F$7, 0))</f>
        <v>648.598096568215</v>
      </c>
    </row>
    <row r="50" customFormat="false" ht="15" hidden="false" customHeight="false" outlineLevel="0" collapsed="false">
      <c r="I50" s="6" t="n">
        <f aca="false">IF(46=$C$6*12, E$7+E$9, IF(46&lt;$C$6*12, E$7, 0))</f>
        <v>599.550525152753</v>
      </c>
      <c r="J50" s="6" t="n">
        <f aca="false">IF(46=$C$6*12, F$7+F$9, IF(46&lt;$C$6*12, F$7, 0))</f>
        <v>648.598096568215</v>
      </c>
    </row>
    <row r="51" customFormat="false" ht="15" hidden="false" customHeight="false" outlineLevel="0" collapsed="false">
      <c r="I51" s="6" t="n">
        <f aca="false">IF(47=$C$6*12, E$7+E$9, IF(47&lt;$C$6*12, E$7, 0))</f>
        <v>599.550525152753</v>
      </c>
      <c r="J51" s="6" t="n">
        <f aca="false">IF(47=$C$6*12, F$7+F$9, IF(47&lt;$C$6*12, F$7, 0))</f>
        <v>648.598096568215</v>
      </c>
    </row>
    <row r="52" customFormat="false" ht="15" hidden="false" customHeight="false" outlineLevel="0" collapsed="false">
      <c r="I52" s="6" t="n">
        <f aca="false">IF(48=$C$6*12, E$7+E$9, IF(48&lt;$C$6*12, E$7, 0))</f>
        <v>599.550525152753</v>
      </c>
      <c r="J52" s="6" t="n">
        <f aca="false">IF(48=$C$6*12, F$7+F$9, IF(48&lt;$C$6*12, F$7, 0))</f>
        <v>648.598096568215</v>
      </c>
    </row>
    <row r="53" customFormat="false" ht="15" hidden="false" customHeight="false" outlineLevel="0" collapsed="false">
      <c r="I53" s="6" t="n">
        <f aca="false">IF(49=$C$6*12, E$7+E$9, IF(49&lt;$C$6*12, E$7, 0))</f>
        <v>599.550525152753</v>
      </c>
      <c r="J53" s="6" t="n">
        <f aca="false">IF(49=$C$6*12, F$7+F$9, IF(49&lt;$C$6*12, F$7, 0))</f>
        <v>648.598096568215</v>
      </c>
    </row>
    <row r="54" customFormat="false" ht="15" hidden="false" customHeight="false" outlineLevel="0" collapsed="false">
      <c r="I54" s="6" t="n">
        <f aca="false">IF(50=$C$6*12, E$7+E$9, IF(50&lt;$C$6*12, E$7, 0))</f>
        <v>599.550525152753</v>
      </c>
      <c r="J54" s="6" t="n">
        <f aca="false">IF(50=$C$6*12, F$7+F$9, IF(50&lt;$C$6*12, F$7, 0))</f>
        <v>648.598096568215</v>
      </c>
    </row>
    <row r="55" customFormat="false" ht="15" hidden="false" customHeight="false" outlineLevel="0" collapsed="false">
      <c r="I55" s="6" t="n">
        <f aca="false">IF(51=$C$6*12, E$7+E$9, IF(51&lt;$C$6*12, E$7, 0))</f>
        <v>599.550525152753</v>
      </c>
      <c r="J55" s="6" t="n">
        <f aca="false">IF(51=$C$6*12, F$7+F$9, IF(51&lt;$C$6*12, F$7, 0))</f>
        <v>648.598096568215</v>
      </c>
    </row>
    <row r="56" customFormat="false" ht="15" hidden="false" customHeight="false" outlineLevel="0" collapsed="false">
      <c r="I56" s="6" t="n">
        <f aca="false">IF(52=$C$6*12, E$7+E$9, IF(52&lt;$C$6*12, E$7, 0))</f>
        <v>599.550525152753</v>
      </c>
      <c r="J56" s="6" t="n">
        <f aca="false">IF(52=$C$6*12, F$7+F$9, IF(52&lt;$C$6*12, F$7, 0))</f>
        <v>648.598096568215</v>
      </c>
    </row>
    <row r="57" customFormat="false" ht="15" hidden="false" customHeight="false" outlineLevel="0" collapsed="false">
      <c r="I57" s="6" t="n">
        <f aca="false">IF(53=$C$6*12, E$7+E$9, IF(53&lt;$C$6*12, E$7, 0))</f>
        <v>599.550525152753</v>
      </c>
      <c r="J57" s="6" t="n">
        <f aca="false">IF(53=$C$6*12, F$7+F$9, IF(53&lt;$C$6*12, F$7, 0))</f>
        <v>648.598096568215</v>
      </c>
    </row>
    <row r="58" customFormat="false" ht="15" hidden="false" customHeight="false" outlineLevel="0" collapsed="false">
      <c r="I58" s="6" t="n">
        <f aca="false">IF(54=$C$6*12, E$7+E$9, IF(54&lt;$C$6*12, E$7, 0))</f>
        <v>599.550525152753</v>
      </c>
      <c r="J58" s="6" t="n">
        <f aca="false">IF(54=$C$6*12, F$7+F$9, IF(54&lt;$C$6*12, F$7, 0))</f>
        <v>648.598096568215</v>
      </c>
    </row>
    <row r="59" customFormat="false" ht="15" hidden="false" customHeight="false" outlineLevel="0" collapsed="false">
      <c r="I59" s="6" t="n">
        <f aca="false">IF(55=$C$6*12, E$7+E$9, IF(55&lt;$C$6*12, E$7, 0))</f>
        <v>599.550525152753</v>
      </c>
      <c r="J59" s="6" t="n">
        <f aca="false">IF(55=$C$6*12, F$7+F$9, IF(55&lt;$C$6*12, F$7, 0))</f>
        <v>648.598096568215</v>
      </c>
    </row>
    <row r="60" customFormat="false" ht="15" hidden="false" customHeight="false" outlineLevel="0" collapsed="false">
      <c r="I60" s="6" t="n">
        <f aca="false">IF(56=$C$6*12, E$7+E$9, IF(56&lt;$C$6*12, E$7, 0))</f>
        <v>599.550525152753</v>
      </c>
      <c r="J60" s="6" t="n">
        <f aca="false">IF(56=$C$6*12, F$7+F$9, IF(56&lt;$C$6*12, F$7, 0))</f>
        <v>648.598096568215</v>
      </c>
    </row>
    <row r="61" customFormat="false" ht="15" hidden="false" customHeight="false" outlineLevel="0" collapsed="false">
      <c r="I61" s="6" t="n">
        <f aca="false">IF(57=$C$6*12, E$7+E$9, IF(57&lt;$C$6*12, E$7, 0))</f>
        <v>599.550525152753</v>
      </c>
      <c r="J61" s="6" t="n">
        <f aca="false">IF(57=$C$6*12, F$7+F$9, IF(57&lt;$C$6*12, F$7, 0))</f>
        <v>648.598096568215</v>
      </c>
    </row>
    <row r="62" customFormat="false" ht="15" hidden="false" customHeight="false" outlineLevel="0" collapsed="false">
      <c r="I62" s="6" t="n">
        <f aca="false">IF(58=$C$6*12, E$7+E$9, IF(58&lt;$C$6*12, E$7, 0))</f>
        <v>599.550525152753</v>
      </c>
      <c r="J62" s="6" t="n">
        <f aca="false">IF(58=$C$6*12, F$7+F$9, IF(58&lt;$C$6*12, F$7, 0))</f>
        <v>648.598096568215</v>
      </c>
    </row>
    <row r="63" customFormat="false" ht="15" hidden="false" customHeight="false" outlineLevel="0" collapsed="false">
      <c r="I63" s="6" t="n">
        <f aca="false">IF(59=$C$6*12, E$7+E$9, IF(59&lt;$C$6*12, E$7, 0))</f>
        <v>599.550525152753</v>
      </c>
      <c r="J63" s="6" t="n">
        <f aca="false">IF(59=$C$6*12, F$7+F$9, IF(59&lt;$C$6*12, F$7, 0))</f>
        <v>648.598096568215</v>
      </c>
    </row>
    <row r="64" customFormat="false" ht="15" hidden="false" customHeight="false" outlineLevel="0" collapsed="false">
      <c r="I64" s="6" t="n">
        <f aca="false">IF(60=$C$6*12, E$7+E$9, IF(60&lt;$C$6*12, E$7, 0))</f>
        <v>93653.9073479725</v>
      </c>
      <c r="J64" s="6" t="n">
        <f aca="false">IF(60=$C$6*12, F$7+F$9, IF(60&lt;$C$6*12, F$7, 0))</f>
        <v>94524.3076338482</v>
      </c>
    </row>
    <row r="65" customFormat="false" ht="15" hidden="false" customHeight="false" outlineLevel="0" collapsed="false">
      <c r="I65" s="6" t="n">
        <f aca="false">IF(61=$C$6*12, E$7+E$9, IF(61&lt;$C$6*12, E$7, 0))</f>
        <v>0</v>
      </c>
      <c r="J65" s="6" t="n">
        <f aca="false">IF(61=$C$6*12, F$7+F$9, IF(61&lt;$C$6*12, F$7, 0))</f>
        <v>0</v>
      </c>
    </row>
    <row r="66" customFormat="false" ht="15" hidden="false" customHeight="false" outlineLevel="0" collapsed="false">
      <c r="I66" s="6" t="n">
        <f aca="false">IF(62=$C$6*12, E$7+E$9, IF(62&lt;$C$6*12, E$7, 0))</f>
        <v>0</v>
      </c>
      <c r="J66" s="6" t="n">
        <f aca="false">IF(62=$C$6*12, F$7+F$9, IF(62&lt;$C$6*12, F$7, 0))</f>
        <v>0</v>
      </c>
    </row>
    <row r="67" customFormat="false" ht="15" hidden="false" customHeight="false" outlineLevel="0" collapsed="false">
      <c r="I67" s="6" t="n">
        <f aca="false">IF(63=$C$6*12, E$7+E$9, IF(63&lt;$C$6*12, E$7, 0))</f>
        <v>0</v>
      </c>
      <c r="J67" s="6" t="n">
        <f aca="false">IF(63=$C$6*12, F$7+F$9, IF(63&lt;$C$6*12, F$7, 0))</f>
        <v>0</v>
      </c>
    </row>
    <row r="68" customFormat="false" ht="15" hidden="false" customHeight="false" outlineLevel="0" collapsed="false">
      <c r="I68" s="6" t="n">
        <f aca="false">IF(64=$C$6*12, E$7+E$9, IF(64&lt;$C$6*12, E$7, 0))</f>
        <v>0</v>
      </c>
      <c r="J68" s="6" t="n">
        <f aca="false">IF(64=$C$6*12, F$7+F$9, IF(64&lt;$C$6*12, F$7, 0))</f>
        <v>0</v>
      </c>
    </row>
    <row r="69" customFormat="false" ht="15" hidden="false" customHeight="false" outlineLevel="0" collapsed="false">
      <c r="I69" s="6" t="n">
        <f aca="false">IF(65=$C$6*12, E$7+E$9, IF(65&lt;$C$6*12, E$7, 0))</f>
        <v>0</v>
      </c>
      <c r="J69" s="6" t="n">
        <f aca="false">IF(65=$C$6*12, F$7+F$9, IF(65&lt;$C$6*12, F$7, 0))</f>
        <v>0</v>
      </c>
    </row>
    <row r="70" customFormat="false" ht="15" hidden="false" customHeight="false" outlineLevel="0" collapsed="false">
      <c r="I70" s="6" t="n">
        <f aca="false">IF(66=$C$6*12, E$7+E$9, IF(66&lt;$C$6*12, E$7, 0))</f>
        <v>0</v>
      </c>
      <c r="J70" s="6" t="n">
        <f aca="false">IF(66=$C$6*12, F$7+F$9, IF(66&lt;$C$6*12, F$7, 0))</f>
        <v>0</v>
      </c>
    </row>
    <row r="71" customFormat="false" ht="15" hidden="false" customHeight="false" outlineLevel="0" collapsed="false">
      <c r="I71" s="6" t="n">
        <f aca="false">IF(67=$C$6*12, E$7+E$9, IF(67&lt;$C$6*12, E$7, 0))</f>
        <v>0</v>
      </c>
      <c r="J71" s="6" t="n">
        <f aca="false">IF(67=$C$6*12, F$7+F$9, IF(67&lt;$C$6*12, F$7, 0))</f>
        <v>0</v>
      </c>
    </row>
    <row r="72" customFormat="false" ht="15" hidden="false" customHeight="false" outlineLevel="0" collapsed="false">
      <c r="I72" s="6" t="n">
        <f aca="false">IF(68=$C$6*12, E$7+E$9, IF(68&lt;$C$6*12, E$7, 0))</f>
        <v>0</v>
      </c>
      <c r="J72" s="6" t="n">
        <f aca="false">IF(68=$C$6*12, F$7+F$9, IF(68&lt;$C$6*12, F$7, 0))</f>
        <v>0</v>
      </c>
    </row>
    <row r="73" customFormat="false" ht="15" hidden="false" customHeight="false" outlineLevel="0" collapsed="false">
      <c r="I73" s="6" t="n">
        <f aca="false">IF(69=$C$6*12, E$7+E$9, IF(69&lt;$C$6*12, E$7, 0))</f>
        <v>0</v>
      </c>
      <c r="J73" s="6" t="n">
        <f aca="false">IF(69=$C$6*12, F$7+F$9, IF(69&lt;$C$6*12, F$7, 0))</f>
        <v>0</v>
      </c>
    </row>
    <row r="74" customFormat="false" ht="15" hidden="false" customHeight="false" outlineLevel="0" collapsed="false">
      <c r="I74" s="6" t="n">
        <f aca="false">IF(70=$C$6*12, E$7+E$9, IF(70&lt;$C$6*12, E$7, 0))</f>
        <v>0</v>
      </c>
      <c r="J74" s="6" t="n">
        <f aca="false">IF(70=$C$6*12, F$7+F$9, IF(70&lt;$C$6*12, F$7, 0))</f>
        <v>0</v>
      </c>
    </row>
    <row r="75" customFormat="false" ht="15" hidden="false" customHeight="false" outlineLevel="0" collapsed="false">
      <c r="I75" s="6" t="n">
        <f aca="false">IF(71=$C$6*12, E$7+E$9, IF(71&lt;$C$6*12, E$7, 0))</f>
        <v>0</v>
      </c>
      <c r="J75" s="6" t="n">
        <f aca="false">IF(71=$C$6*12, F$7+F$9, IF(71&lt;$C$6*12, F$7, 0))</f>
        <v>0</v>
      </c>
    </row>
    <row r="76" customFormat="false" ht="15" hidden="false" customHeight="false" outlineLevel="0" collapsed="false">
      <c r="I76" s="6" t="n">
        <f aca="false">IF(72=$C$6*12, E$7+E$9, IF(72&lt;$C$6*12, E$7, 0))</f>
        <v>0</v>
      </c>
      <c r="J76" s="6" t="n">
        <f aca="false">IF(72=$C$6*12, F$7+F$9, IF(72&lt;$C$6*12, F$7, 0))</f>
        <v>0</v>
      </c>
    </row>
    <row r="77" customFormat="false" ht="15" hidden="false" customHeight="false" outlineLevel="0" collapsed="false">
      <c r="I77" s="6" t="n">
        <f aca="false">IF(73=$C$6*12, E$7+E$9, IF(73&lt;$C$6*12, E$7, 0))</f>
        <v>0</v>
      </c>
      <c r="J77" s="6" t="n">
        <f aca="false">IF(73=$C$6*12, F$7+F$9, IF(73&lt;$C$6*12, F$7, 0))</f>
        <v>0</v>
      </c>
    </row>
    <row r="78" customFormat="false" ht="15" hidden="false" customHeight="false" outlineLevel="0" collapsed="false">
      <c r="I78" s="6" t="n">
        <f aca="false">IF(74=$C$6*12, E$7+E$9, IF(74&lt;$C$6*12, E$7, 0))</f>
        <v>0</v>
      </c>
      <c r="J78" s="6" t="n">
        <f aca="false">IF(74=$C$6*12, F$7+F$9, IF(74&lt;$C$6*12, F$7, 0))</f>
        <v>0</v>
      </c>
    </row>
    <row r="79" customFormat="false" ht="15" hidden="false" customHeight="false" outlineLevel="0" collapsed="false">
      <c r="I79" s="6" t="n">
        <f aca="false">IF(75=$C$6*12, E$7+E$9, IF(75&lt;$C$6*12, E$7, 0))</f>
        <v>0</v>
      </c>
      <c r="J79" s="6" t="n">
        <f aca="false">IF(75=$C$6*12, F$7+F$9, IF(75&lt;$C$6*12, F$7, 0))</f>
        <v>0</v>
      </c>
    </row>
    <row r="80" customFormat="false" ht="15" hidden="false" customHeight="false" outlineLevel="0" collapsed="false">
      <c r="I80" s="6" t="n">
        <f aca="false">IF(76=$C$6*12, E$7+E$9, IF(76&lt;$C$6*12, E$7, 0))</f>
        <v>0</v>
      </c>
      <c r="J80" s="6" t="n">
        <f aca="false">IF(76=$C$6*12, F$7+F$9, IF(76&lt;$C$6*12, F$7, 0))</f>
        <v>0</v>
      </c>
    </row>
    <row r="81" customFormat="false" ht="15" hidden="false" customHeight="false" outlineLevel="0" collapsed="false">
      <c r="I81" s="6" t="n">
        <f aca="false">IF(77=$C$6*12, E$7+E$9, IF(77&lt;$C$6*12, E$7, 0))</f>
        <v>0</v>
      </c>
      <c r="J81" s="6" t="n">
        <f aca="false">IF(77=$C$6*12, F$7+F$9, IF(77&lt;$C$6*12, F$7, 0))</f>
        <v>0</v>
      </c>
    </row>
    <row r="82" customFormat="false" ht="15" hidden="false" customHeight="false" outlineLevel="0" collapsed="false">
      <c r="I82" s="6" t="n">
        <f aca="false">IF(78=$C$6*12, E$7+E$9, IF(78&lt;$C$6*12, E$7, 0))</f>
        <v>0</v>
      </c>
      <c r="J82" s="6" t="n">
        <f aca="false">IF(78=$C$6*12, F$7+F$9, IF(78&lt;$C$6*12, F$7, 0))</f>
        <v>0</v>
      </c>
    </row>
    <row r="83" customFormat="false" ht="15" hidden="false" customHeight="false" outlineLevel="0" collapsed="false">
      <c r="I83" s="6" t="n">
        <f aca="false">IF(79=$C$6*12, E$7+E$9, IF(79&lt;$C$6*12, E$7, 0))</f>
        <v>0</v>
      </c>
      <c r="J83" s="6" t="n">
        <f aca="false">IF(79=$C$6*12, F$7+F$9, IF(79&lt;$C$6*12, F$7, 0))</f>
        <v>0</v>
      </c>
    </row>
    <row r="84" customFormat="false" ht="15" hidden="false" customHeight="false" outlineLevel="0" collapsed="false">
      <c r="I84" s="6" t="n">
        <f aca="false">IF(80=$C$6*12, E$7+E$9, IF(80&lt;$C$6*12, E$7, 0))</f>
        <v>0</v>
      </c>
      <c r="J84" s="6" t="n">
        <f aca="false">IF(80=$C$6*12, F$7+F$9, IF(80&lt;$C$6*12, F$7, 0))</f>
        <v>0</v>
      </c>
    </row>
    <row r="85" customFormat="false" ht="15" hidden="false" customHeight="false" outlineLevel="0" collapsed="false">
      <c r="I85" s="6" t="n">
        <f aca="false">IF(81=$C$6*12, E$7+E$9, IF(81&lt;$C$6*12, E$7, 0))</f>
        <v>0</v>
      </c>
      <c r="J85" s="6" t="n">
        <f aca="false">IF(81=$C$6*12, F$7+F$9, IF(81&lt;$C$6*12, F$7, 0))</f>
        <v>0</v>
      </c>
    </row>
    <row r="86" customFormat="false" ht="15" hidden="false" customHeight="false" outlineLevel="0" collapsed="false">
      <c r="I86" s="6" t="n">
        <f aca="false">IF(82=$C$6*12, E$7+E$9, IF(82&lt;$C$6*12, E$7, 0))</f>
        <v>0</v>
      </c>
      <c r="J86" s="6" t="n">
        <f aca="false">IF(82=$C$6*12, F$7+F$9, IF(82&lt;$C$6*12, F$7, 0))</f>
        <v>0</v>
      </c>
    </row>
    <row r="87" customFormat="false" ht="15" hidden="false" customHeight="false" outlineLevel="0" collapsed="false">
      <c r="I87" s="6" t="n">
        <f aca="false">IF(83=$C$6*12, E$7+E$9, IF(83&lt;$C$6*12, E$7, 0))</f>
        <v>0</v>
      </c>
      <c r="J87" s="6" t="n">
        <f aca="false">IF(83=$C$6*12, F$7+F$9, IF(83&lt;$C$6*12, F$7, 0))</f>
        <v>0</v>
      </c>
    </row>
    <row r="88" customFormat="false" ht="15" hidden="false" customHeight="false" outlineLevel="0" collapsed="false">
      <c r="I88" s="6" t="n">
        <f aca="false">IF(84=$C$6*12, E$7+E$9, IF(84&lt;$C$6*12, E$7, 0))</f>
        <v>0</v>
      </c>
      <c r="J88" s="6" t="n">
        <f aca="false">IF(84=$C$6*12, F$7+F$9, IF(84&lt;$C$6*12, F$7, 0))</f>
        <v>0</v>
      </c>
    </row>
    <row r="89" customFormat="false" ht="15" hidden="false" customHeight="false" outlineLevel="0" collapsed="false">
      <c r="I89" s="6" t="n">
        <f aca="false">IF(85=$C$6*12, E$7+E$9, IF(85&lt;$C$6*12, E$7, 0))</f>
        <v>0</v>
      </c>
      <c r="J89" s="6" t="n">
        <f aca="false">IF(85=$C$6*12, F$7+F$9, IF(85&lt;$C$6*12, F$7, 0))</f>
        <v>0</v>
      </c>
    </row>
    <row r="90" customFormat="false" ht="15" hidden="false" customHeight="false" outlineLevel="0" collapsed="false">
      <c r="I90" s="6" t="n">
        <f aca="false">IF(86=$C$6*12, E$7+E$9, IF(86&lt;$C$6*12, E$7, 0))</f>
        <v>0</v>
      </c>
      <c r="J90" s="6" t="n">
        <f aca="false">IF(86=$C$6*12, F$7+F$9, IF(86&lt;$C$6*12, F$7, 0))</f>
        <v>0</v>
      </c>
    </row>
    <row r="91" customFormat="false" ht="15" hidden="false" customHeight="false" outlineLevel="0" collapsed="false">
      <c r="I91" s="6" t="n">
        <f aca="false">IF(87=$C$6*12, E$7+E$9, IF(87&lt;$C$6*12, E$7, 0))</f>
        <v>0</v>
      </c>
      <c r="J91" s="6" t="n">
        <f aca="false">IF(87=$C$6*12, F$7+F$9, IF(87&lt;$C$6*12, F$7, 0))</f>
        <v>0</v>
      </c>
    </row>
    <row r="92" customFormat="false" ht="15" hidden="false" customHeight="false" outlineLevel="0" collapsed="false">
      <c r="I92" s="6" t="n">
        <f aca="false">IF(88=$C$6*12, E$7+E$9, IF(88&lt;$C$6*12, E$7, 0))</f>
        <v>0</v>
      </c>
      <c r="J92" s="6" t="n">
        <f aca="false">IF(88=$C$6*12, F$7+F$9, IF(88&lt;$C$6*12, F$7, 0))</f>
        <v>0</v>
      </c>
    </row>
    <row r="93" customFormat="false" ht="15" hidden="false" customHeight="false" outlineLevel="0" collapsed="false">
      <c r="I93" s="6" t="n">
        <f aca="false">IF(89=$C$6*12, E$7+E$9, IF(89&lt;$C$6*12, E$7, 0))</f>
        <v>0</v>
      </c>
      <c r="J93" s="6" t="n">
        <f aca="false">IF(89=$C$6*12, F$7+F$9, IF(89&lt;$C$6*12, F$7, 0))</f>
        <v>0</v>
      </c>
    </row>
    <row r="94" customFormat="false" ht="15" hidden="false" customHeight="false" outlineLevel="0" collapsed="false">
      <c r="I94" s="6" t="n">
        <f aca="false">IF(90=$C$6*12, E$7+E$9, IF(90&lt;$C$6*12, E$7, 0))</f>
        <v>0</v>
      </c>
      <c r="J94" s="6" t="n">
        <f aca="false">IF(90=$C$6*12, F$7+F$9, IF(90&lt;$C$6*12, F$7, 0))</f>
        <v>0</v>
      </c>
    </row>
    <row r="95" customFormat="false" ht="15" hidden="false" customHeight="false" outlineLevel="0" collapsed="false">
      <c r="I95" s="6" t="n">
        <f aca="false">IF(91=$C$6*12, E$7+E$9, IF(91&lt;$C$6*12, E$7, 0))</f>
        <v>0</v>
      </c>
      <c r="J95" s="6" t="n">
        <f aca="false">IF(91=$C$6*12, F$7+F$9, IF(91&lt;$C$6*12, F$7, 0))</f>
        <v>0</v>
      </c>
    </row>
    <row r="96" customFormat="false" ht="15" hidden="false" customHeight="false" outlineLevel="0" collapsed="false">
      <c r="I96" s="6" t="n">
        <f aca="false">IF(92=$C$6*12, E$7+E$9, IF(92&lt;$C$6*12, E$7, 0))</f>
        <v>0</v>
      </c>
      <c r="J96" s="6" t="n">
        <f aca="false">IF(92=$C$6*12, F$7+F$9, IF(92&lt;$C$6*12, F$7, 0))</f>
        <v>0</v>
      </c>
    </row>
    <row r="97" customFormat="false" ht="15" hidden="false" customHeight="false" outlineLevel="0" collapsed="false">
      <c r="I97" s="6" t="n">
        <f aca="false">IF(93=$C$6*12, E$7+E$9, IF(93&lt;$C$6*12, E$7, 0))</f>
        <v>0</v>
      </c>
      <c r="J97" s="6" t="n">
        <f aca="false">IF(93=$C$6*12, F$7+F$9, IF(93&lt;$C$6*12, F$7, 0))</f>
        <v>0</v>
      </c>
    </row>
    <row r="98" customFormat="false" ht="15" hidden="false" customHeight="false" outlineLevel="0" collapsed="false">
      <c r="I98" s="6" t="n">
        <f aca="false">IF(94=$C$6*12, E$7+E$9, IF(94&lt;$C$6*12, E$7, 0))</f>
        <v>0</v>
      </c>
      <c r="J98" s="6" t="n">
        <f aca="false">IF(94=$C$6*12, F$7+F$9, IF(94&lt;$C$6*12, F$7, 0))</f>
        <v>0</v>
      </c>
    </row>
    <row r="99" customFormat="false" ht="15" hidden="false" customHeight="false" outlineLevel="0" collapsed="false">
      <c r="I99" s="6" t="n">
        <f aca="false">IF(95=$C$6*12, E$7+E$9, IF(95&lt;$C$6*12, E$7, 0))</f>
        <v>0</v>
      </c>
      <c r="J99" s="6" t="n">
        <f aca="false">IF(95=$C$6*12, F$7+F$9, IF(95&lt;$C$6*12, F$7, 0))</f>
        <v>0</v>
      </c>
    </row>
    <row r="100" customFormat="false" ht="15" hidden="false" customHeight="false" outlineLevel="0" collapsed="false">
      <c r="I100" s="6" t="n">
        <f aca="false">IF(96=$C$6*12, E$7+E$9, IF(96&lt;$C$6*12, E$7, 0))</f>
        <v>0</v>
      </c>
      <c r="J100" s="6" t="n">
        <f aca="false">IF(96=$C$6*12, F$7+F$9, IF(96&lt;$C$6*12, F$7, 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2026-06-30T12:09:28Z</dcterms:created>
  <dc:creator>openpyxl</dc:creator>
  <dc:description/>
  <dc:language>en-US</dc:language>
  <cp:lastModifiedBy/>
  <dcterms:modified xsi:type="dcterms:W3CDTF">2026-06-30T12:09:28Z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