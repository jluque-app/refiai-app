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M Payment &amp; Ballo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<sst xmlns="http://schemas.openxmlformats.org/spreadsheetml/2006/main" count="23" uniqueCount="23">
  <si>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Constant Payment Mortgage — Payment &amp; Balloon</t>
  </si>
  <si>
    <t xml:space="preserve">ReFiAI · Unit 3 · Note vs Mortgage &amp; Loan Mechanics</t>
  </si>
  <si>
    <t xml:space="preserve">Inputs</t>
  </si>
  <si>
    <t xml:space="preserve">Loan amount (PV)</t>
  </si>
  <si>
    <t xml:space="preserve">← blue = input you can change</t>
  </si>
  <si>
    <t xml:space="preserve">Annual interest rate</t>
  </si>
  <si>
    <t xml:space="preserve">Monthly rate (i = rate / 12)</t>
  </si>
  <si>
    <t xml:space="preserve">Scenario</t>
  </si>
  <si>
    <t xml:space="preserve">Amortization (yrs)</t>
  </si>
  <si>
    <t xml:space="preserve">Payoff (yrs)</t>
  </si>
  <si>
    <t xml:space="preserve">Amort. months</t>
  </si>
  <si>
    <t xml:space="preserve">Payoff months</t>
  </si>
  <si>
    <t xml:space="preserve">Monthly payment (PMT)</t>
  </si>
  <si>
    <t xml:space="preserve">Balloon (OLB at payoff)</t>
  </si>
  <si>
    <t xml:space="preserve">1. Fully amortizing (25-yr am, 25-yr payoff)</t>
  </si>
  <si>
    <t xml:space="preserve">2. 25-yr amortization, 10-yr balloon</t>
  </si>
  <si>
    <t xml:space="preserve">3. 15-yr amortization, 10-yr balloon</t>
  </si>
  <si>
    <t xml:space="preserve">How it works</t>
  </si>
  <si>
    <t xml:space="preserve">• Payment (column G) = PMT(monthly rate, amortization months, −loan): the level monthly annuity that fully repays the loan over its amortization schedule.</t>
  </si>
  <si>
    <t xml:space="preserve">• Balloon (column H) = FV(monthly rate, payoff months, payment, −loan): the balance still owed at the payoff date.</t>
  </si>
  <si>
    <t xml:space="preserve">• Fully amortizing means payoff = amortization, so the balloon is 0. A shorter payoff than the amortization leaves an outstanding balance (balloon).</t>
  </si>
  <si>
    <t xml:space="preserve">• Faster amortization (15 vs 25 years) raises the monthly payment but leaves a much smaller balloon — less refinancing risk.</t>
  </si>
  <si>
    <t xml:space="preserve">• Change the blue cells (loan, rate, years) and every figure recalculates.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</si>
</sst>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"/>
    <numFmt numFmtId="166" formatCode="0.00%"/>
    <numFmt numFmtId="167" formatCode="0.0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1F3B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21"/>
    <col collapsed="false" customWidth="true" hidden="false" outlineLevel="0" max="8" min="8" style="0" width="2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0" t="s">
        <v>3</v>
      </c>
      <c r="C6" s="4" t="n">
        <v>2000000</v>
      </c>
      <c r="E6" s="5" t="s">
        <v>4</v>
      </c>
    </row>
    <row r="7" customFormat="false" ht="15" hidden="false" customHeight="false" outlineLevel="0" collapsed="false">
      <c r="B7" s="0" t="s">
        <v>5</v>
      </c>
      <c r="C7" s="6" t="n">
        <v>0.08</v>
      </c>
    </row>
    <row r="8" customFormat="false" ht="15" hidden="false" customHeight="false" outlineLevel="0" collapsed="false">
      <c r="B8" s="0" t="s">
        <v>6</v>
      </c>
      <c r="C8" s="7" t="n">
        <f aca="false">C7/12</f>
        <v>0.00666666666666667</v>
      </c>
    </row>
    <row r="10" customFormat="false" ht="26.85" hidden="false" customHeight="false" outlineLevel="0" collapsed="false"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</row>
    <row r="11" customFormat="false" ht="15" hidden="false" customHeight="false" outlineLevel="0" collapsed="false">
      <c r="B11" s="9" t="s">
        <v>14</v>
      </c>
      <c r="C11" s="10" t="n">
        <v>25</v>
      </c>
      <c r="D11" s="10" t="n">
        <v>25</v>
      </c>
      <c r="E11" s="11" t="n">
        <f aca="false">C11*12</f>
        <v>300</v>
      </c>
      <c r="F11" s="11" t="n">
        <f aca="false">D11*12</f>
        <v>300</v>
      </c>
      <c r="G11" s="12" t="n">
        <f aca="false">PMT($C$8,E11,-$C$6)</f>
        <v>15436.3243874601</v>
      </c>
      <c r="H11" s="12" t="n">
        <f aca="false">FV($C$8,F11,G11,-$C$6)</f>
        <v>4.81688857689733E-008</v>
      </c>
    </row>
    <row r="12" customFormat="false" ht="15" hidden="false" customHeight="false" outlineLevel="0" collapsed="false">
      <c r="B12" s="9" t="s">
        <v>15</v>
      </c>
      <c r="C12" s="10" t="n">
        <v>25</v>
      </c>
      <c r="D12" s="10" t="n">
        <v>10</v>
      </c>
      <c r="E12" s="11" t="n">
        <f aca="false">C12*12</f>
        <v>300</v>
      </c>
      <c r="F12" s="11" t="n">
        <f aca="false">D12*12</f>
        <v>120</v>
      </c>
      <c r="G12" s="12" t="n">
        <f aca="false">PMT($C$8,E12,-$C$6)</f>
        <v>15436.3243874601</v>
      </c>
      <c r="H12" s="12" t="n">
        <f aca="false">FV($C$8,F12,G12,-$C$6)</f>
        <v>1615266.12462492</v>
      </c>
    </row>
    <row r="13" customFormat="false" ht="15" hidden="false" customHeight="false" outlineLevel="0" collapsed="false">
      <c r="B13" s="9" t="s">
        <v>16</v>
      </c>
      <c r="C13" s="10" t="n">
        <v>15</v>
      </c>
      <c r="D13" s="10" t="n">
        <v>10</v>
      </c>
      <c r="E13" s="11" t="n">
        <f aca="false">C13*12</f>
        <v>180</v>
      </c>
      <c r="F13" s="11" t="n">
        <f aca="false">D13*12</f>
        <v>120</v>
      </c>
      <c r="G13" s="12" t="n">
        <f aca="false">PMT($C$8,E13,-$C$6)</f>
        <v>19113.041686607</v>
      </c>
      <c r="H13" s="12" t="n">
        <f aca="false">FV($C$8,F13,G13,-$C$6)</f>
        <v>942625.272261987</v>
      </c>
    </row>
    <row r="16" customFormat="false" ht="15" hidden="false" customHeight="false" outlineLevel="0" collapsed="false">
      <c r="B16" s="3" t="s">
        <v>17</v>
      </c>
    </row>
    <row r="17" customFormat="false" ht="15" hidden="false" customHeight="false" outlineLevel="0" collapsed="false">
      <c r="B17" s="13" t="s">
        <v>18</v>
      </c>
    </row>
    <row r="18" customFormat="false" ht="15" hidden="false" customHeight="false" outlineLevel="0" collapsed="false">
      <c r="B18" s="13" t="s">
        <v>19</v>
      </c>
    </row>
    <row r="19" customFormat="false" ht="15" hidden="false" customHeight="false" outlineLevel="0" collapsed="false">
      <c r="B19" s="13" t="s">
        <v>20</v>
      </c>
    </row>
    <row r="20" customFormat="false" ht="15" hidden="false" customHeight="false" outlineLevel="0" collapsed="false">
      <c r="B20" s="13" t="s">
        <v>21</v>
      </c>
    </row>
    <row r="21" customFormat="false" ht="15" hidden="false" customHeight="false" outlineLevel="0" collapsed="false">
      <c r="B21" s="1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2026-06-30T10:11:42Z</dcterms:created>
  <dc:creator>openpyxl</dc:creator>
  <dc:description/>
  <dc:language>en-US</dc:language>
  <cp:lastModifiedBy/>
  <dcterms:modified xsi:type="dcterms:W3CDTF">2026-06-30T10:11:42Z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