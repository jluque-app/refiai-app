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IO" sheetId="2" state="visible" r:id="rId4"/>
    <sheet name="CPM" sheetId="3" state="visible" r:id="rId5"/>
    <sheet name="CA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<sst xmlns="http://schemas.openxmlformats.org/spreadsheetml/2006/main" count="25" uniqueCount="13">
  <si>
    <t xml:space="preserve">Amortization Patterns — shared inputs</t>
  </si>
  <si>
    <t xml:space="preserve">ReFiAI · Unit 3 · The Four Repayment Patterns</t>
  </si>
  <si>
    <t xml:space="preserve">Loan amount (PV)</t>
  </si>
  <si>
    <t xml:space="preserve">Annual interest rate</t>
  </si>
  <si>
    <t xml:space="preserve">Amortization (years)</t>
  </si>
  <si>
    <t xml:space="preserve">Monthly rate (i)</t>
  </si>
  <si>
    <t xml:space="preserve">Total months (N)</t>
  </si>
  <si>
    <t xml:space="preserve">Mo</t>
  </si>
  <si>
    <t xml:space="preserve">Beginning balance</t>
  </si>
  <si>
    <t xml:space="preserve">Payment</t>
  </si>
  <si>
    <t xml:space="preserve">Interest</t>
  </si>
  <si>
    <t xml:space="preserve">Principal</t>
  </si>
  <si>
    <t xml:space="preserve">Ending balance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</si>
</sst>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0.00%"/>
    <numFmt numFmtId="167" formatCode="0"/>
    <numFmt numFmtId="168" formatCode="0.00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1F3B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100000</v>
      </c>
    </row>
    <row r="6" customFormat="false" ht="15" hidden="false" customHeight="false" outlineLevel="0" collapsed="false">
      <c r="B6" s="3" t="s">
        <v>3</v>
      </c>
      <c r="C6" s="5" t="n">
        <v>0.07</v>
      </c>
    </row>
    <row r="7" customFormat="false" ht="15" hidden="false" customHeight="false" outlineLevel="0" collapsed="false">
      <c r="B7" s="3" t="s">
        <v>4</v>
      </c>
      <c r="C7" s="6" t="n">
        <v>30</v>
      </c>
    </row>
    <row r="8" customFormat="false" ht="15" hidden="false" customHeight="false" outlineLevel="0" collapsed="false">
      <c r="B8" s="3" t="s">
        <v>5</v>
      </c>
      <c r="C8" s="7" t="n">
        <f aca="false">C6/12</f>
        <v>0.00583333333333333</v>
      </c>
    </row>
    <row r="9" customFormat="false" ht="15" hidden="false" customHeight="false" outlineLevel="0" collapsed="false">
      <c r="B9" s="3" t="s">
        <v>6</v>
      </c>
      <c r="C9" s="0" t="n">
        <f aca="false">C7*12</f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</row>
    <row r="2" customFormat="false" ht="15" hidden="false" customHeight="false" outlineLevel="0" collapsed="false">
      <c r="A2" s="0" t="n">
        <v>1</v>
      </c>
      <c r="B2" s="9" t="n">
        <f aca="false">Inputs!$C$5</f>
        <v>100000</v>
      </c>
      <c r="C2" s="9" t="n">
        <f aca="false">D2</f>
        <v>583.333333333333</v>
      </c>
      <c r="D2" s="9" t="n">
        <f aca="false">B2*Inputs!$C$8</f>
        <v>583.333333333333</v>
      </c>
      <c r="E2" s="9" t="n">
        <v>0</v>
      </c>
      <c r="F2" s="9" t="n">
        <f aca="false">B2-E2</f>
        <v>100000</v>
      </c>
    </row>
    <row r="3" customFormat="false" ht="15" hidden="false" customHeight="false" outlineLevel="0" collapsed="false">
      <c r="A3" s="0" t="n">
        <v>2</v>
      </c>
      <c r="B3" s="9" t="n">
        <f aca="false">F2</f>
        <v>100000</v>
      </c>
      <c r="C3" s="9" t="n">
        <f aca="false">D3</f>
        <v>583.333333333333</v>
      </c>
      <c r="D3" s="9" t="n">
        <f aca="false">B3*Inputs!$C$8</f>
        <v>583.333333333333</v>
      </c>
      <c r="E3" s="9" t="n">
        <v>0</v>
      </c>
      <c r="F3" s="9" t="n">
        <f aca="false">B3-E3</f>
        <v>100000</v>
      </c>
    </row>
    <row r="4" customFormat="false" ht="15" hidden="false" customHeight="false" outlineLevel="0" collapsed="false">
      <c r="A4" s="0" t="n">
        <v>3</v>
      </c>
      <c r="B4" s="9" t="n">
        <f aca="false">F3</f>
        <v>100000</v>
      </c>
      <c r="C4" s="9" t="n">
        <f aca="false">D4</f>
        <v>583.333333333333</v>
      </c>
      <c r="D4" s="9" t="n">
        <f aca="false">B4*Inputs!$C$8</f>
        <v>583.333333333333</v>
      </c>
      <c r="E4" s="9" t="n">
        <v>0</v>
      </c>
      <c r="F4" s="9" t="n">
        <f aca="false">B4-E4</f>
        <v>100000</v>
      </c>
    </row>
    <row r="5" customFormat="false" ht="15" hidden="false" customHeight="false" outlineLevel="0" collapsed="false">
      <c r="A5" s="0" t="n">
        <v>4</v>
      </c>
      <c r="B5" s="9" t="n">
        <f aca="false">F4</f>
        <v>100000</v>
      </c>
      <c r="C5" s="9" t="n">
        <f aca="false">D5</f>
        <v>583.333333333333</v>
      </c>
      <c r="D5" s="9" t="n">
        <f aca="false">B5*Inputs!$C$8</f>
        <v>583.333333333333</v>
      </c>
      <c r="E5" s="9" t="n">
        <v>0</v>
      </c>
      <c r="F5" s="9" t="n">
        <f aca="false">B5-E5</f>
        <v>100000</v>
      </c>
    </row>
    <row r="6" customFormat="false" ht="15" hidden="false" customHeight="false" outlineLevel="0" collapsed="false">
      <c r="A6" s="0" t="n">
        <v>5</v>
      </c>
      <c r="B6" s="9" t="n">
        <f aca="false">F5</f>
        <v>100000</v>
      </c>
      <c r="C6" s="9" t="n">
        <f aca="false">D6</f>
        <v>583.333333333333</v>
      </c>
      <c r="D6" s="9" t="n">
        <f aca="false">B6*Inputs!$C$8</f>
        <v>583.333333333333</v>
      </c>
      <c r="E6" s="9" t="n">
        <v>0</v>
      </c>
      <c r="F6" s="9" t="n">
        <f aca="false">B6-E6</f>
        <v>100000</v>
      </c>
    </row>
    <row r="7" customFormat="false" ht="15" hidden="false" customHeight="false" outlineLevel="0" collapsed="false">
      <c r="A7" s="0" t="n">
        <v>6</v>
      </c>
      <c r="B7" s="9" t="n">
        <f aca="false">F6</f>
        <v>100000</v>
      </c>
      <c r="C7" s="9" t="n">
        <f aca="false">D7</f>
        <v>583.333333333333</v>
      </c>
      <c r="D7" s="9" t="n">
        <f aca="false">B7*Inputs!$C$8</f>
        <v>583.333333333333</v>
      </c>
      <c r="E7" s="9" t="n">
        <v>0</v>
      </c>
      <c r="F7" s="9" t="n">
        <f aca="false">B7-E7</f>
        <v>100000</v>
      </c>
    </row>
    <row r="8" customFormat="false" ht="15" hidden="false" customHeight="false" outlineLevel="0" collapsed="false">
      <c r="A8" s="0" t="n">
        <v>7</v>
      </c>
      <c r="B8" s="9" t="n">
        <f aca="false">F7</f>
        <v>100000</v>
      </c>
      <c r="C8" s="9" t="n">
        <f aca="false">D8</f>
        <v>583.333333333333</v>
      </c>
      <c r="D8" s="9" t="n">
        <f aca="false">B8*Inputs!$C$8</f>
        <v>583.333333333333</v>
      </c>
      <c r="E8" s="9" t="n">
        <v>0</v>
      </c>
      <c r="F8" s="9" t="n">
        <f aca="false">B8-E8</f>
        <v>100000</v>
      </c>
    </row>
    <row r="9" customFormat="false" ht="15" hidden="false" customHeight="false" outlineLevel="0" collapsed="false">
      <c r="A9" s="0" t="n">
        <v>8</v>
      </c>
      <c r="B9" s="9" t="n">
        <f aca="false">F8</f>
        <v>100000</v>
      </c>
      <c r="C9" s="9" t="n">
        <f aca="false">D9</f>
        <v>583.333333333333</v>
      </c>
      <c r="D9" s="9" t="n">
        <f aca="false">B9*Inputs!$C$8</f>
        <v>583.333333333333</v>
      </c>
      <c r="E9" s="9" t="n">
        <v>0</v>
      </c>
      <c r="F9" s="9" t="n">
        <f aca="false">B9-E9</f>
        <v>100000</v>
      </c>
    </row>
    <row r="10" customFormat="false" ht="15" hidden="false" customHeight="false" outlineLevel="0" collapsed="false">
      <c r="A10" s="0" t="n">
        <v>9</v>
      </c>
      <c r="B10" s="9" t="n">
        <f aca="false">F9</f>
        <v>100000</v>
      </c>
      <c r="C10" s="9" t="n">
        <f aca="false">D10</f>
        <v>583.333333333333</v>
      </c>
      <c r="D10" s="9" t="n">
        <f aca="false">B10*Inputs!$C$8</f>
        <v>583.333333333333</v>
      </c>
      <c r="E10" s="9" t="n">
        <v>0</v>
      </c>
      <c r="F10" s="9" t="n">
        <f aca="false">B10-E10</f>
        <v>100000</v>
      </c>
    </row>
    <row r="11" customFormat="false" ht="15" hidden="false" customHeight="false" outlineLevel="0" collapsed="false">
      <c r="A11" s="0" t="n">
        <v>10</v>
      </c>
      <c r="B11" s="9" t="n">
        <f aca="false">F10</f>
        <v>100000</v>
      </c>
      <c r="C11" s="9" t="n">
        <f aca="false">D11</f>
        <v>583.333333333333</v>
      </c>
      <c r="D11" s="9" t="n">
        <f aca="false">B11*Inputs!$C$8</f>
        <v>583.333333333333</v>
      </c>
      <c r="E11" s="9" t="n">
        <v>0</v>
      </c>
      <c r="F11" s="9" t="n">
        <f aca="false">B11-E11</f>
        <v>100000</v>
      </c>
    </row>
    <row r="12" customFormat="false" ht="15" hidden="false" customHeight="false" outlineLevel="0" collapsed="false">
      <c r="A12" s="0" t="n">
        <v>11</v>
      </c>
      <c r="B12" s="9" t="n">
        <f aca="false">F11</f>
        <v>100000</v>
      </c>
      <c r="C12" s="9" t="n">
        <f aca="false">D12</f>
        <v>583.333333333333</v>
      </c>
      <c r="D12" s="9" t="n">
        <f aca="false">B12*Inputs!$C$8</f>
        <v>583.333333333333</v>
      </c>
      <c r="E12" s="9" t="n">
        <v>0</v>
      </c>
      <c r="F12" s="9" t="n">
        <f aca="false">B12-E12</f>
        <v>100000</v>
      </c>
    </row>
    <row r="13" customFormat="false" ht="15" hidden="false" customHeight="false" outlineLevel="0" collapsed="false">
      <c r="A13" s="0" t="n">
        <v>12</v>
      </c>
      <c r="B13" s="9" t="n">
        <f aca="false">F12</f>
        <v>100000</v>
      </c>
      <c r="C13" s="9" t="n">
        <f aca="false">D13</f>
        <v>583.333333333333</v>
      </c>
      <c r="D13" s="9" t="n">
        <f aca="false">B13*Inputs!$C$8</f>
        <v>583.333333333333</v>
      </c>
      <c r="E13" s="9" t="n">
        <v>0</v>
      </c>
      <c r="F13" s="9" t="n">
        <f aca="false">B13-E13</f>
        <v>100000</v>
      </c>
    </row>
    <row r="14" customFormat="false" ht="15" hidden="false" customHeight="false" outlineLevel="0" collapsed="false">
      <c r="A14" s="0" t="n">
        <v>13</v>
      </c>
      <c r="B14" s="9" t="n">
        <f aca="false">F13</f>
        <v>100000</v>
      </c>
      <c r="C14" s="9" t="n">
        <f aca="false">D14</f>
        <v>583.333333333333</v>
      </c>
      <c r="D14" s="9" t="n">
        <f aca="false">B14*Inputs!$C$8</f>
        <v>583.333333333333</v>
      </c>
      <c r="E14" s="9" t="n">
        <v>0</v>
      </c>
      <c r="F14" s="9" t="n">
        <f aca="false">B14-E14</f>
        <v>100000</v>
      </c>
    </row>
    <row r="15" customFormat="false" ht="15" hidden="false" customHeight="false" outlineLevel="0" collapsed="false">
      <c r="A15" s="0" t="n">
        <v>14</v>
      </c>
      <c r="B15" s="9" t="n">
        <f aca="false">F14</f>
        <v>100000</v>
      </c>
      <c r="C15" s="9" t="n">
        <f aca="false">D15</f>
        <v>583.333333333333</v>
      </c>
      <c r="D15" s="9" t="n">
        <f aca="false">B15*Inputs!$C$8</f>
        <v>583.333333333333</v>
      </c>
      <c r="E15" s="9" t="n">
        <v>0</v>
      </c>
      <c r="F15" s="9" t="n">
        <f aca="false">B15-E15</f>
        <v>100000</v>
      </c>
    </row>
    <row r="16" customFormat="false" ht="15" hidden="false" customHeight="false" outlineLevel="0" collapsed="false">
      <c r="A16" s="0" t="n">
        <v>15</v>
      </c>
      <c r="B16" s="9" t="n">
        <f aca="false">F15</f>
        <v>100000</v>
      </c>
      <c r="C16" s="9" t="n">
        <f aca="false">D16</f>
        <v>583.333333333333</v>
      </c>
      <c r="D16" s="9" t="n">
        <f aca="false">B16*Inputs!$C$8</f>
        <v>583.333333333333</v>
      </c>
      <c r="E16" s="9" t="n">
        <v>0</v>
      </c>
      <c r="F16" s="9" t="n">
        <f aca="false">B16-E16</f>
        <v>100000</v>
      </c>
    </row>
    <row r="17" customFormat="false" ht="15" hidden="false" customHeight="false" outlineLevel="0" collapsed="false">
      <c r="A17" s="0" t="n">
        <v>16</v>
      </c>
      <c r="B17" s="9" t="n">
        <f aca="false">F16</f>
        <v>100000</v>
      </c>
      <c r="C17" s="9" t="n">
        <f aca="false">D17</f>
        <v>583.333333333333</v>
      </c>
      <c r="D17" s="9" t="n">
        <f aca="false">B17*Inputs!$C$8</f>
        <v>583.333333333333</v>
      </c>
      <c r="E17" s="9" t="n">
        <v>0</v>
      </c>
      <c r="F17" s="9" t="n">
        <f aca="false">B17-E17</f>
        <v>100000</v>
      </c>
    </row>
    <row r="18" customFormat="false" ht="15" hidden="false" customHeight="false" outlineLevel="0" collapsed="false">
      <c r="A18" s="0" t="n">
        <v>17</v>
      </c>
      <c r="B18" s="9" t="n">
        <f aca="false">F17</f>
        <v>100000</v>
      </c>
      <c r="C18" s="9" t="n">
        <f aca="false">D18</f>
        <v>583.333333333333</v>
      </c>
      <c r="D18" s="9" t="n">
        <f aca="false">B18*Inputs!$C$8</f>
        <v>583.333333333333</v>
      </c>
      <c r="E18" s="9" t="n">
        <v>0</v>
      </c>
      <c r="F18" s="9" t="n">
        <f aca="false">B18-E18</f>
        <v>100000</v>
      </c>
    </row>
    <row r="19" customFormat="false" ht="15" hidden="false" customHeight="false" outlineLevel="0" collapsed="false">
      <c r="A19" s="0" t="n">
        <v>18</v>
      </c>
      <c r="B19" s="9" t="n">
        <f aca="false">F18</f>
        <v>100000</v>
      </c>
      <c r="C19" s="9" t="n">
        <f aca="false">D19</f>
        <v>583.333333333333</v>
      </c>
      <c r="D19" s="9" t="n">
        <f aca="false">B19*Inputs!$C$8</f>
        <v>583.333333333333</v>
      </c>
      <c r="E19" s="9" t="n">
        <v>0</v>
      </c>
      <c r="F19" s="9" t="n">
        <f aca="false">B19-E19</f>
        <v>100000</v>
      </c>
    </row>
    <row r="20" customFormat="false" ht="15" hidden="false" customHeight="false" outlineLevel="0" collapsed="false">
      <c r="A20" s="0" t="n">
        <v>19</v>
      </c>
      <c r="B20" s="9" t="n">
        <f aca="false">F19</f>
        <v>100000</v>
      </c>
      <c r="C20" s="9" t="n">
        <f aca="false">D20</f>
        <v>583.333333333333</v>
      </c>
      <c r="D20" s="9" t="n">
        <f aca="false">B20*Inputs!$C$8</f>
        <v>583.333333333333</v>
      </c>
      <c r="E20" s="9" t="n">
        <v>0</v>
      </c>
      <c r="F20" s="9" t="n">
        <f aca="false">B20-E20</f>
        <v>100000</v>
      </c>
    </row>
    <row r="21" customFormat="false" ht="15" hidden="false" customHeight="false" outlineLevel="0" collapsed="false">
      <c r="A21" s="0" t="n">
        <v>20</v>
      </c>
      <c r="B21" s="9" t="n">
        <f aca="false">F20</f>
        <v>100000</v>
      </c>
      <c r="C21" s="9" t="n">
        <f aca="false">D21</f>
        <v>583.333333333333</v>
      </c>
      <c r="D21" s="9" t="n">
        <f aca="false">B21*Inputs!$C$8</f>
        <v>583.333333333333</v>
      </c>
      <c r="E21" s="9" t="n">
        <v>0</v>
      </c>
      <c r="F21" s="9" t="n">
        <f aca="false">B21-E21</f>
        <v>100000</v>
      </c>
    </row>
    <row r="22" customFormat="false" ht="15" hidden="false" customHeight="false" outlineLevel="0" collapsed="false">
      <c r="A22" s="0" t="n">
        <v>21</v>
      </c>
      <c r="B22" s="9" t="n">
        <f aca="false">F21</f>
        <v>100000</v>
      </c>
      <c r="C22" s="9" t="n">
        <f aca="false">D22</f>
        <v>583.333333333333</v>
      </c>
      <c r="D22" s="9" t="n">
        <f aca="false">B22*Inputs!$C$8</f>
        <v>583.333333333333</v>
      </c>
      <c r="E22" s="9" t="n">
        <v>0</v>
      </c>
      <c r="F22" s="9" t="n">
        <f aca="false">B22-E22</f>
        <v>100000</v>
      </c>
    </row>
    <row r="23" customFormat="false" ht="15" hidden="false" customHeight="false" outlineLevel="0" collapsed="false">
      <c r="A23" s="0" t="n">
        <v>22</v>
      </c>
      <c r="B23" s="9" t="n">
        <f aca="false">F22</f>
        <v>100000</v>
      </c>
      <c r="C23" s="9" t="n">
        <f aca="false">D23</f>
        <v>583.333333333333</v>
      </c>
      <c r="D23" s="9" t="n">
        <f aca="false">B23*Inputs!$C$8</f>
        <v>583.333333333333</v>
      </c>
      <c r="E23" s="9" t="n">
        <v>0</v>
      </c>
      <c r="F23" s="9" t="n">
        <f aca="false">B23-E23</f>
        <v>100000</v>
      </c>
    </row>
    <row r="24" customFormat="false" ht="15" hidden="false" customHeight="false" outlineLevel="0" collapsed="false">
      <c r="A24" s="0" t="n">
        <v>23</v>
      </c>
      <c r="B24" s="9" t="n">
        <f aca="false">F23</f>
        <v>100000</v>
      </c>
      <c r="C24" s="9" t="n">
        <f aca="false">D24</f>
        <v>583.333333333333</v>
      </c>
      <c r="D24" s="9" t="n">
        <f aca="false">B24*Inputs!$C$8</f>
        <v>583.333333333333</v>
      </c>
      <c r="E24" s="9" t="n">
        <v>0</v>
      </c>
      <c r="F24" s="9" t="n">
        <f aca="false">B24-E24</f>
        <v>100000</v>
      </c>
    </row>
    <row r="25" customFormat="false" ht="15" hidden="false" customHeight="false" outlineLevel="0" collapsed="false">
      <c r="A25" s="0" t="n">
        <v>24</v>
      </c>
      <c r="B25" s="9" t="n">
        <f aca="false">F24</f>
        <v>100000</v>
      </c>
      <c r="C25" s="9" t="n">
        <f aca="false">D25</f>
        <v>583.333333333333</v>
      </c>
      <c r="D25" s="9" t="n">
        <f aca="false">B25*Inputs!$C$8</f>
        <v>583.333333333333</v>
      </c>
      <c r="E25" s="9" t="n">
        <v>0</v>
      </c>
      <c r="F25" s="9" t="n">
        <f aca="false">B25-E25</f>
        <v>100000</v>
      </c>
    </row>
    <row r="26" customFormat="false" ht="15" hidden="false" customHeight="false" outlineLevel="0" collapsed="false">
      <c r="A26" s="0" t="n">
        <v>25</v>
      </c>
      <c r="B26" s="9" t="n">
        <f aca="false">F25</f>
        <v>100000</v>
      </c>
      <c r="C26" s="9" t="n">
        <f aca="false">D26</f>
        <v>583.333333333333</v>
      </c>
      <c r="D26" s="9" t="n">
        <f aca="false">B26*Inputs!$C$8</f>
        <v>583.333333333333</v>
      </c>
      <c r="E26" s="9" t="n">
        <v>0</v>
      </c>
      <c r="F26" s="9" t="n">
        <f aca="false">B26-E26</f>
        <v>100000</v>
      </c>
    </row>
    <row r="27" customFormat="false" ht="15" hidden="false" customHeight="false" outlineLevel="0" collapsed="false">
      <c r="A27" s="0" t="n">
        <v>26</v>
      </c>
      <c r="B27" s="9" t="n">
        <f aca="false">F26</f>
        <v>100000</v>
      </c>
      <c r="C27" s="9" t="n">
        <f aca="false">D27</f>
        <v>583.333333333333</v>
      </c>
      <c r="D27" s="9" t="n">
        <f aca="false">B27*Inputs!$C$8</f>
        <v>583.333333333333</v>
      </c>
      <c r="E27" s="9" t="n">
        <v>0</v>
      </c>
      <c r="F27" s="9" t="n">
        <f aca="false">B27-E27</f>
        <v>100000</v>
      </c>
    </row>
    <row r="28" customFormat="false" ht="15" hidden="false" customHeight="false" outlineLevel="0" collapsed="false">
      <c r="A28" s="0" t="n">
        <v>27</v>
      </c>
      <c r="B28" s="9" t="n">
        <f aca="false">F27</f>
        <v>100000</v>
      </c>
      <c r="C28" s="9" t="n">
        <f aca="false">D28</f>
        <v>583.333333333333</v>
      </c>
      <c r="D28" s="9" t="n">
        <f aca="false">B28*Inputs!$C$8</f>
        <v>583.333333333333</v>
      </c>
      <c r="E28" s="9" t="n">
        <v>0</v>
      </c>
      <c r="F28" s="9" t="n">
        <f aca="false">B28-E28</f>
        <v>100000</v>
      </c>
    </row>
    <row r="29" customFormat="false" ht="15" hidden="false" customHeight="false" outlineLevel="0" collapsed="false">
      <c r="A29" s="0" t="n">
        <v>28</v>
      </c>
      <c r="B29" s="9" t="n">
        <f aca="false">F28</f>
        <v>100000</v>
      </c>
      <c r="C29" s="9" t="n">
        <f aca="false">D29</f>
        <v>583.333333333333</v>
      </c>
      <c r="D29" s="9" t="n">
        <f aca="false">B29*Inputs!$C$8</f>
        <v>583.333333333333</v>
      </c>
      <c r="E29" s="9" t="n">
        <v>0</v>
      </c>
      <c r="F29" s="9" t="n">
        <f aca="false">B29-E29</f>
        <v>100000</v>
      </c>
    </row>
    <row r="30" customFormat="false" ht="15" hidden="false" customHeight="false" outlineLevel="0" collapsed="false">
      <c r="A30" s="0" t="n">
        <v>29</v>
      </c>
      <c r="B30" s="9" t="n">
        <f aca="false">F29</f>
        <v>100000</v>
      </c>
      <c r="C30" s="9" t="n">
        <f aca="false">D30</f>
        <v>583.333333333333</v>
      </c>
      <c r="D30" s="9" t="n">
        <f aca="false">B30*Inputs!$C$8</f>
        <v>583.333333333333</v>
      </c>
      <c r="E30" s="9" t="n">
        <v>0</v>
      </c>
      <c r="F30" s="9" t="n">
        <f aca="false">B30-E30</f>
        <v>100000</v>
      </c>
    </row>
    <row r="31" customFormat="false" ht="15" hidden="false" customHeight="false" outlineLevel="0" collapsed="false">
      <c r="A31" s="0" t="n">
        <v>30</v>
      </c>
      <c r="B31" s="9" t="n">
        <f aca="false">F30</f>
        <v>100000</v>
      </c>
      <c r="C31" s="9" t="n">
        <f aca="false">D31</f>
        <v>583.333333333333</v>
      </c>
      <c r="D31" s="9" t="n">
        <f aca="false">B31*Inputs!$C$8</f>
        <v>583.333333333333</v>
      </c>
      <c r="E31" s="9" t="n">
        <v>0</v>
      </c>
      <c r="F31" s="9" t="n">
        <f aca="false">B31-E31</f>
        <v>100000</v>
      </c>
    </row>
    <row r="32" customFormat="false" ht="15" hidden="false" customHeight="false" outlineLevel="0" collapsed="false">
      <c r="A32" s="0" t="n">
        <v>31</v>
      </c>
      <c r="B32" s="9" t="n">
        <f aca="false">F31</f>
        <v>100000</v>
      </c>
      <c r="C32" s="9" t="n">
        <f aca="false">D32</f>
        <v>583.333333333333</v>
      </c>
      <c r="D32" s="9" t="n">
        <f aca="false">B32*Inputs!$C$8</f>
        <v>583.333333333333</v>
      </c>
      <c r="E32" s="9" t="n">
        <v>0</v>
      </c>
      <c r="F32" s="9" t="n">
        <f aca="false">B32-E32</f>
        <v>100000</v>
      </c>
    </row>
    <row r="33" customFormat="false" ht="15" hidden="false" customHeight="false" outlineLevel="0" collapsed="false">
      <c r="A33" s="0" t="n">
        <v>32</v>
      </c>
      <c r="B33" s="9" t="n">
        <f aca="false">F32</f>
        <v>100000</v>
      </c>
      <c r="C33" s="9" t="n">
        <f aca="false">D33</f>
        <v>583.333333333333</v>
      </c>
      <c r="D33" s="9" t="n">
        <f aca="false">B33*Inputs!$C$8</f>
        <v>583.333333333333</v>
      </c>
      <c r="E33" s="9" t="n">
        <v>0</v>
      </c>
      <c r="F33" s="9" t="n">
        <f aca="false">B33-E33</f>
        <v>100000</v>
      </c>
    </row>
    <row r="34" customFormat="false" ht="15" hidden="false" customHeight="false" outlineLevel="0" collapsed="false">
      <c r="A34" s="0" t="n">
        <v>33</v>
      </c>
      <c r="B34" s="9" t="n">
        <f aca="false">F33</f>
        <v>100000</v>
      </c>
      <c r="C34" s="9" t="n">
        <f aca="false">D34</f>
        <v>583.333333333333</v>
      </c>
      <c r="D34" s="9" t="n">
        <f aca="false">B34*Inputs!$C$8</f>
        <v>583.333333333333</v>
      </c>
      <c r="E34" s="9" t="n">
        <v>0</v>
      </c>
      <c r="F34" s="9" t="n">
        <f aca="false">B34-E34</f>
        <v>100000</v>
      </c>
    </row>
    <row r="35" customFormat="false" ht="15" hidden="false" customHeight="false" outlineLevel="0" collapsed="false">
      <c r="A35" s="0" t="n">
        <v>34</v>
      </c>
      <c r="B35" s="9" t="n">
        <f aca="false">F34</f>
        <v>100000</v>
      </c>
      <c r="C35" s="9" t="n">
        <f aca="false">D35</f>
        <v>583.333333333333</v>
      </c>
      <c r="D35" s="9" t="n">
        <f aca="false">B35*Inputs!$C$8</f>
        <v>583.333333333333</v>
      </c>
      <c r="E35" s="9" t="n">
        <v>0</v>
      </c>
      <c r="F35" s="9" t="n">
        <f aca="false">B35-E35</f>
        <v>100000</v>
      </c>
    </row>
    <row r="36" customFormat="false" ht="15" hidden="false" customHeight="false" outlineLevel="0" collapsed="false">
      <c r="A36" s="0" t="n">
        <v>35</v>
      </c>
      <c r="B36" s="9" t="n">
        <f aca="false">F35</f>
        <v>100000</v>
      </c>
      <c r="C36" s="9" t="n">
        <f aca="false">D36</f>
        <v>583.333333333333</v>
      </c>
      <c r="D36" s="9" t="n">
        <f aca="false">B36*Inputs!$C$8</f>
        <v>583.333333333333</v>
      </c>
      <c r="E36" s="9" t="n">
        <v>0</v>
      </c>
      <c r="F36" s="9" t="n">
        <f aca="false">B36-E36</f>
        <v>100000</v>
      </c>
    </row>
    <row r="37" customFormat="false" ht="15" hidden="false" customHeight="false" outlineLevel="0" collapsed="false">
      <c r="A37" s="0" t="n">
        <v>36</v>
      </c>
      <c r="B37" s="9" t="n">
        <f aca="false">F36</f>
        <v>100000</v>
      </c>
      <c r="C37" s="9" t="n">
        <f aca="false">D37</f>
        <v>583.333333333333</v>
      </c>
      <c r="D37" s="9" t="n">
        <f aca="false">B37*Inputs!$C$8</f>
        <v>583.333333333333</v>
      </c>
      <c r="E37" s="9" t="n">
        <v>0</v>
      </c>
      <c r="F37" s="9" t="n">
        <f aca="false">B37-E37</f>
        <v>100000</v>
      </c>
    </row>
    <row r="38" customFormat="false" ht="15" hidden="false" customHeight="false" outlineLevel="0" collapsed="false">
      <c r="A38" s="0" t="n">
        <v>37</v>
      </c>
      <c r="B38" s="9" t="n">
        <f aca="false">F37</f>
        <v>100000</v>
      </c>
      <c r="C38" s="9" t="n">
        <f aca="false">D38</f>
        <v>583.333333333333</v>
      </c>
      <c r="D38" s="9" t="n">
        <f aca="false">B38*Inputs!$C$8</f>
        <v>583.333333333333</v>
      </c>
      <c r="E38" s="9" t="n">
        <v>0</v>
      </c>
      <c r="F38" s="9" t="n">
        <f aca="false">B38-E38</f>
        <v>100000</v>
      </c>
    </row>
    <row r="39" customFormat="false" ht="15" hidden="false" customHeight="false" outlineLevel="0" collapsed="false">
      <c r="A39" s="0" t="n">
        <v>38</v>
      </c>
      <c r="B39" s="9" t="n">
        <f aca="false">F38</f>
        <v>100000</v>
      </c>
      <c r="C39" s="9" t="n">
        <f aca="false">D39</f>
        <v>583.333333333333</v>
      </c>
      <c r="D39" s="9" t="n">
        <f aca="false">B39*Inputs!$C$8</f>
        <v>583.333333333333</v>
      </c>
      <c r="E39" s="9" t="n">
        <v>0</v>
      </c>
      <c r="F39" s="9" t="n">
        <f aca="false">B39-E39</f>
        <v>100000</v>
      </c>
    </row>
    <row r="40" customFormat="false" ht="15" hidden="false" customHeight="false" outlineLevel="0" collapsed="false">
      <c r="A40" s="0" t="n">
        <v>39</v>
      </c>
      <c r="B40" s="9" t="n">
        <f aca="false">F39</f>
        <v>100000</v>
      </c>
      <c r="C40" s="9" t="n">
        <f aca="false">D40</f>
        <v>583.333333333333</v>
      </c>
      <c r="D40" s="9" t="n">
        <f aca="false">B40*Inputs!$C$8</f>
        <v>583.333333333333</v>
      </c>
      <c r="E40" s="9" t="n">
        <v>0</v>
      </c>
      <c r="F40" s="9" t="n">
        <f aca="false">B40-E40</f>
        <v>100000</v>
      </c>
    </row>
    <row r="41" customFormat="false" ht="15" hidden="false" customHeight="false" outlineLevel="0" collapsed="false">
      <c r="A41" s="0" t="n">
        <v>40</v>
      </c>
      <c r="B41" s="9" t="n">
        <f aca="false">F40</f>
        <v>100000</v>
      </c>
      <c r="C41" s="9" t="n">
        <f aca="false">D41</f>
        <v>583.333333333333</v>
      </c>
      <c r="D41" s="9" t="n">
        <f aca="false">B41*Inputs!$C$8</f>
        <v>583.333333333333</v>
      </c>
      <c r="E41" s="9" t="n">
        <v>0</v>
      </c>
      <c r="F41" s="9" t="n">
        <f aca="false">B41-E41</f>
        <v>100000</v>
      </c>
    </row>
    <row r="42" customFormat="false" ht="15" hidden="false" customHeight="false" outlineLevel="0" collapsed="false">
      <c r="A42" s="0" t="n">
        <v>41</v>
      </c>
      <c r="B42" s="9" t="n">
        <f aca="false">F41</f>
        <v>100000</v>
      </c>
      <c r="C42" s="9" t="n">
        <f aca="false">D42</f>
        <v>583.333333333333</v>
      </c>
      <c r="D42" s="9" t="n">
        <f aca="false">B42*Inputs!$C$8</f>
        <v>583.333333333333</v>
      </c>
      <c r="E42" s="9" t="n">
        <v>0</v>
      </c>
      <c r="F42" s="9" t="n">
        <f aca="false">B42-E42</f>
        <v>100000</v>
      </c>
    </row>
    <row r="43" customFormat="false" ht="15" hidden="false" customHeight="false" outlineLevel="0" collapsed="false">
      <c r="A43" s="0" t="n">
        <v>42</v>
      </c>
      <c r="B43" s="9" t="n">
        <f aca="false">F42</f>
        <v>100000</v>
      </c>
      <c r="C43" s="9" t="n">
        <f aca="false">D43</f>
        <v>583.333333333333</v>
      </c>
      <c r="D43" s="9" t="n">
        <f aca="false">B43*Inputs!$C$8</f>
        <v>583.333333333333</v>
      </c>
      <c r="E43" s="9" t="n">
        <v>0</v>
      </c>
      <c r="F43" s="9" t="n">
        <f aca="false">B43-E43</f>
        <v>100000</v>
      </c>
    </row>
    <row r="44" customFormat="false" ht="15" hidden="false" customHeight="false" outlineLevel="0" collapsed="false">
      <c r="A44" s="0" t="n">
        <v>43</v>
      </c>
      <c r="B44" s="9" t="n">
        <f aca="false">F43</f>
        <v>100000</v>
      </c>
      <c r="C44" s="9" t="n">
        <f aca="false">D44</f>
        <v>583.333333333333</v>
      </c>
      <c r="D44" s="9" t="n">
        <f aca="false">B44*Inputs!$C$8</f>
        <v>583.333333333333</v>
      </c>
      <c r="E44" s="9" t="n">
        <v>0</v>
      </c>
      <c r="F44" s="9" t="n">
        <f aca="false">B44-E44</f>
        <v>100000</v>
      </c>
    </row>
    <row r="45" customFormat="false" ht="15" hidden="false" customHeight="false" outlineLevel="0" collapsed="false">
      <c r="A45" s="0" t="n">
        <v>44</v>
      </c>
      <c r="B45" s="9" t="n">
        <f aca="false">F44</f>
        <v>100000</v>
      </c>
      <c r="C45" s="9" t="n">
        <f aca="false">D45</f>
        <v>583.333333333333</v>
      </c>
      <c r="D45" s="9" t="n">
        <f aca="false">B45*Inputs!$C$8</f>
        <v>583.333333333333</v>
      </c>
      <c r="E45" s="9" t="n">
        <v>0</v>
      </c>
      <c r="F45" s="9" t="n">
        <f aca="false">B45-E45</f>
        <v>100000</v>
      </c>
    </row>
    <row r="46" customFormat="false" ht="15" hidden="false" customHeight="false" outlineLevel="0" collapsed="false">
      <c r="A46" s="0" t="n">
        <v>45</v>
      </c>
      <c r="B46" s="9" t="n">
        <f aca="false">F45</f>
        <v>100000</v>
      </c>
      <c r="C46" s="9" t="n">
        <f aca="false">D46</f>
        <v>583.333333333333</v>
      </c>
      <c r="D46" s="9" t="n">
        <f aca="false">B46*Inputs!$C$8</f>
        <v>583.333333333333</v>
      </c>
      <c r="E46" s="9" t="n">
        <v>0</v>
      </c>
      <c r="F46" s="9" t="n">
        <f aca="false">B46-E46</f>
        <v>100000</v>
      </c>
    </row>
    <row r="47" customFormat="false" ht="15" hidden="false" customHeight="false" outlineLevel="0" collapsed="false">
      <c r="A47" s="0" t="n">
        <v>46</v>
      </c>
      <c r="B47" s="9" t="n">
        <f aca="false">F46</f>
        <v>100000</v>
      </c>
      <c r="C47" s="9" t="n">
        <f aca="false">D47</f>
        <v>583.333333333333</v>
      </c>
      <c r="D47" s="9" t="n">
        <f aca="false">B47*Inputs!$C$8</f>
        <v>583.333333333333</v>
      </c>
      <c r="E47" s="9" t="n">
        <v>0</v>
      </c>
      <c r="F47" s="9" t="n">
        <f aca="false">B47-E47</f>
        <v>100000</v>
      </c>
    </row>
    <row r="48" customFormat="false" ht="15" hidden="false" customHeight="false" outlineLevel="0" collapsed="false">
      <c r="A48" s="0" t="n">
        <v>47</v>
      </c>
      <c r="B48" s="9" t="n">
        <f aca="false">F47</f>
        <v>100000</v>
      </c>
      <c r="C48" s="9" t="n">
        <f aca="false">D48</f>
        <v>583.333333333333</v>
      </c>
      <c r="D48" s="9" t="n">
        <f aca="false">B48*Inputs!$C$8</f>
        <v>583.333333333333</v>
      </c>
      <c r="E48" s="9" t="n">
        <v>0</v>
      </c>
      <c r="F48" s="9" t="n">
        <f aca="false">B48-E48</f>
        <v>100000</v>
      </c>
    </row>
    <row r="49" customFormat="false" ht="15" hidden="false" customHeight="false" outlineLevel="0" collapsed="false">
      <c r="A49" s="0" t="n">
        <v>48</v>
      </c>
      <c r="B49" s="9" t="n">
        <f aca="false">F48</f>
        <v>100000</v>
      </c>
      <c r="C49" s="9" t="n">
        <f aca="false">D49</f>
        <v>583.333333333333</v>
      </c>
      <c r="D49" s="9" t="n">
        <f aca="false">B49*Inputs!$C$8</f>
        <v>583.333333333333</v>
      </c>
      <c r="E49" s="9" t="n">
        <v>0</v>
      </c>
      <c r="F49" s="9" t="n">
        <f aca="false">B49-E49</f>
        <v>100000</v>
      </c>
    </row>
    <row r="50" customFormat="false" ht="15" hidden="false" customHeight="false" outlineLevel="0" collapsed="false">
      <c r="A50" s="0" t="n">
        <v>49</v>
      </c>
      <c r="B50" s="9" t="n">
        <f aca="false">F49</f>
        <v>100000</v>
      </c>
      <c r="C50" s="9" t="n">
        <f aca="false">D50</f>
        <v>583.333333333333</v>
      </c>
      <c r="D50" s="9" t="n">
        <f aca="false">B50*Inputs!$C$8</f>
        <v>583.333333333333</v>
      </c>
      <c r="E50" s="9" t="n">
        <v>0</v>
      </c>
      <c r="F50" s="9" t="n">
        <f aca="false">B50-E50</f>
        <v>100000</v>
      </c>
    </row>
    <row r="51" customFormat="false" ht="15" hidden="false" customHeight="false" outlineLevel="0" collapsed="false">
      <c r="A51" s="0" t="n">
        <v>50</v>
      </c>
      <c r="B51" s="9" t="n">
        <f aca="false">F50</f>
        <v>100000</v>
      </c>
      <c r="C51" s="9" t="n">
        <f aca="false">D51</f>
        <v>583.333333333333</v>
      </c>
      <c r="D51" s="9" t="n">
        <f aca="false">B51*Inputs!$C$8</f>
        <v>583.333333333333</v>
      </c>
      <c r="E51" s="9" t="n">
        <v>0</v>
      </c>
      <c r="F51" s="9" t="n">
        <f aca="false">B51-E51</f>
        <v>100000</v>
      </c>
    </row>
    <row r="52" customFormat="false" ht="15" hidden="false" customHeight="false" outlineLevel="0" collapsed="false">
      <c r="A52" s="0" t="n">
        <v>51</v>
      </c>
      <c r="B52" s="9" t="n">
        <f aca="false">F51</f>
        <v>100000</v>
      </c>
      <c r="C52" s="9" t="n">
        <f aca="false">D52</f>
        <v>583.333333333333</v>
      </c>
      <c r="D52" s="9" t="n">
        <f aca="false">B52*Inputs!$C$8</f>
        <v>583.333333333333</v>
      </c>
      <c r="E52" s="9" t="n">
        <v>0</v>
      </c>
      <c r="F52" s="9" t="n">
        <f aca="false">B52-E52</f>
        <v>100000</v>
      </c>
    </row>
    <row r="53" customFormat="false" ht="15" hidden="false" customHeight="false" outlineLevel="0" collapsed="false">
      <c r="A53" s="0" t="n">
        <v>52</v>
      </c>
      <c r="B53" s="9" t="n">
        <f aca="false">F52</f>
        <v>100000</v>
      </c>
      <c r="C53" s="9" t="n">
        <f aca="false">D53</f>
        <v>583.333333333333</v>
      </c>
      <c r="D53" s="9" t="n">
        <f aca="false">B53*Inputs!$C$8</f>
        <v>583.333333333333</v>
      </c>
      <c r="E53" s="9" t="n">
        <v>0</v>
      </c>
      <c r="F53" s="9" t="n">
        <f aca="false">B53-E53</f>
        <v>100000</v>
      </c>
    </row>
    <row r="54" customFormat="false" ht="15" hidden="false" customHeight="false" outlineLevel="0" collapsed="false">
      <c r="A54" s="0" t="n">
        <v>53</v>
      </c>
      <c r="B54" s="9" t="n">
        <f aca="false">F53</f>
        <v>100000</v>
      </c>
      <c r="C54" s="9" t="n">
        <f aca="false">D54</f>
        <v>583.333333333333</v>
      </c>
      <c r="D54" s="9" t="n">
        <f aca="false">B54*Inputs!$C$8</f>
        <v>583.333333333333</v>
      </c>
      <c r="E54" s="9" t="n">
        <v>0</v>
      </c>
      <c r="F54" s="9" t="n">
        <f aca="false">B54-E54</f>
        <v>100000</v>
      </c>
    </row>
    <row r="55" customFormat="false" ht="15" hidden="false" customHeight="false" outlineLevel="0" collapsed="false">
      <c r="A55" s="0" t="n">
        <v>54</v>
      </c>
      <c r="B55" s="9" t="n">
        <f aca="false">F54</f>
        <v>100000</v>
      </c>
      <c r="C55" s="9" t="n">
        <f aca="false">D55</f>
        <v>583.333333333333</v>
      </c>
      <c r="D55" s="9" t="n">
        <f aca="false">B55*Inputs!$C$8</f>
        <v>583.333333333333</v>
      </c>
      <c r="E55" s="9" t="n">
        <v>0</v>
      </c>
      <c r="F55" s="9" t="n">
        <f aca="false">B55-E55</f>
        <v>100000</v>
      </c>
    </row>
    <row r="56" customFormat="false" ht="15" hidden="false" customHeight="false" outlineLevel="0" collapsed="false">
      <c r="A56" s="0" t="n">
        <v>55</v>
      </c>
      <c r="B56" s="9" t="n">
        <f aca="false">F55</f>
        <v>100000</v>
      </c>
      <c r="C56" s="9" t="n">
        <f aca="false">D56</f>
        <v>583.333333333333</v>
      </c>
      <c r="D56" s="9" t="n">
        <f aca="false">B56*Inputs!$C$8</f>
        <v>583.333333333333</v>
      </c>
      <c r="E56" s="9" t="n">
        <v>0</v>
      </c>
      <c r="F56" s="9" t="n">
        <f aca="false">B56-E56</f>
        <v>100000</v>
      </c>
    </row>
    <row r="57" customFormat="false" ht="15" hidden="false" customHeight="false" outlineLevel="0" collapsed="false">
      <c r="A57" s="0" t="n">
        <v>56</v>
      </c>
      <c r="B57" s="9" t="n">
        <f aca="false">F56</f>
        <v>100000</v>
      </c>
      <c r="C57" s="9" t="n">
        <f aca="false">D57</f>
        <v>583.333333333333</v>
      </c>
      <c r="D57" s="9" t="n">
        <f aca="false">B57*Inputs!$C$8</f>
        <v>583.333333333333</v>
      </c>
      <c r="E57" s="9" t="n">
        <v>0</v>
      </c>
      <c r="F57" s="9" t="n">
        <f aca="false">B57-E57</f>
        <v>100000</v>
      </c>
    </row>
    <row r="58" customFormat="false" ht="15" hidden="false" customHeight="false" outlineLevel="0" collapsed="false">
      <c r="A58" s="0" t="n">
        <v>57</v>
      </c>
      <c r="B58" s="9" t="n">
        <f aca="false">F57</f>
        <v>100000</v>
      </c>
      <c r="C58" s="9" t="n">
        <f aca="false">D58</f>
        <v>583.333333333333</v>
      </c>
      <c r="D58" s="9" t="n">
        <f aca="false">B58*Inputs!$C$8</f>
        <v>583.333333333333</v>
      </c>
      <c r="E58" s="9" t="n">
        <v>0</v>
      </c>
      <c r="F58" s="9" t="n">
        <f aca="false">B58-E58</f>
        <v>100000</v>
      </c>
    </row>
    <row r="59" customFormat="false" ht="15" hidden="false" customHeight="false" outlineLevel="0" collapsed="false">
      <c r="A59" s="0" t="n">
        <v>58</v>
      </c>
      <c r="B59" s="9" t="n">
        <f aca="false">F58</f>
        <v>100000</v>
      </c>
      <c r="C59" s="9" t="n">
        <f aca="false">D59</f>
        <v>583.333333333333</v>
      </c>
      <c r="D59" s="9" t="n">
        <f aca="false">B59*Inputs!$C$8</f>
        <v>583.333333333333</v>
      </c>
      <c r="E59" s="9" t="n">
        <v>0</v>
      </c>
      <c r="F59" s="9" t="n">
        <f aca="false">B59-E59</f>
        <v>100000</v>
      </c>
    </row>
    <row r="60" customFormat="false" ht="15" hidden="false" customHeight="false" outlineLevel="0" collapsed="false">
      <c r="A60" s="0" t="n">
        <v>59</v>
      </c>
      <c r="B60" s="9" t="n">
        <f aca="false">F59</f>
        <v>100000</v>
      </c>
      <c r="C60" s="9" t="n">
        <f aca="false">D60</f>
        <v>583.333333333333</v>
      </c>
      <c r="D60" s="9" t="n">
        <f aca="false">B60*Inputs!$C$8</f>
        <v>583.333333333333</v>
      </c>
      <c r="E60" s="9" t="n">
        <v>0</v>
      </c>
      <c r="F60" s="9" t="n">
        <f aca="false">B60-E60</f>
        <v>100000</v>
      </c>
    </row>
    <row r="61" customFormat="false" ht="15" hidden="false" customHeight="false" outlineLevel="0" collapsed="false">
      <c r="A61" s="0" t="n">
        <v>60</v>
      </c>
      <c r="B61" s="9" t="n">
        <f aca="false">F60</f>
        <v>100000</v>
      </c>
      <c r="C61" s="9" t="n">
        <f aca="false">D61</f>
        <v>583.333333333333</v>
      </c>
      <c r="D61" s="9" t="n">
        <f aca="false">B61*Inputs!$C$8</f>
        <v>583.333333333333</v>
      </c>
      <c r="E61" s="9" t="n">
        <v>0</v>
      </c>
      <c r="F61" s="9" t="n">
        <f aca="false">B61-E61</f>
        <v>100000</v>
      </c>
    </row>
    <row r="62" customFormat="false" ht="15" hidden="false" customHeight="false" outlineLevel="0" collapsed="false">
      <c r="A62" s="0" t="n">
        <v>61</v>
      </c>
      <c r="B62" s="9" t="n">
        <f aca="false">F61</f>
        <v>100000</v>
      </c>
      <c r="C62" s="9" t="n">
        <f aca="false">D62</f>
        <v>583.333333333333</v>
      </c>
      <c r="D62" s="9" t="n">
        <f aca="false">B62*Inputs!$C$8</f>
        <v>583.333333333333</v>
      </c>
      <c r="E62" s="9" t="n">
        <v>0</v>
      </c>
      <c r="F62" s="9" t="n">
        <f aca="false">B62-E62</f>
        <v>100000</v>
      </c>
    </row>
    <row r="63" customFormat="false" ht="15" hidden="false" customHeight="false" outlineLevel="0" collapsed="false">
      <c r="A63" s="0" t="n">
        <v>62</v>
      </c>
      <c r="B63" s="9" t="n">
        <f aca="false">F62</f>
        <v>100000</v>
      </c>
      <c r="C63" s="9" t="n">
        <f aca="false">D63</f>
        <v>583.333333333333</v>
      </c>
      <c r="D63" s="9" t="n">
        <f aca="false">B63*Inputs!$C$8</f>
        <v>583.333333333333</v>
      </c>
      <c r="E63" s="9" t="n">
        <v>0</v>
      </c>
      <c r="F63" s="9" t="n">
        <f aca="false">B63-E63</f>
        <v>100000</v>
      </c>
    </row>
    <row r="64" customFormat="false" ht="15" hidden="false" customHeight="false" outlineLevel="0" collapsed="false">
      <c r="A64" s="0" t="n">
        <v>63</v>
      </c>
      <c r="B64" s="9" t="n">
        <f aca="false">F63</f>
        <v>100000</v>
      </c>
      <c r="C64" s="9" t="n">
        <f aca="false">D64</f>
        <v>583.333333333333</v>
      </c>
      <c r="D64" s="9" t="n">
        <f aca="false">B64*Inputs!$C$8</f>
        <v>583.333333333333</v>
      </c>
      <c r="E64" s="9" t="n">
        <v>0</v>
      </c>
      <c r="F64" s="9" t="n">
        <f aca="false">B64-E64</f>
        <v>100000</v>
      </c>
    </row>
    <row r="65" customFormat="false" ht="15" hidden="false" customHeight="false" outlineLevel="0" collapsed="false">
      <c r="A65" s="0" t="n">
        <v>64</v>
      </c>
      <c r="B65" s="9" t="n">
        <f aca="false">F64</f>
        <v>100000</v>
      </c>
      <c r="C65" s="9" t="n">
        <f aca="false">D65</f>
        <v>583.333333333333</v>
      </c>
      <c r="D65" s="9" t="n">
        <f aca="false">B65*Inputs!$C$8</f>
        <v>583.333333333333</v>
      </c>
      <c r="E65" s="9" t="n">
        <v>0</v>
      </c>
      <c r="F65" s="9" t="n">
        <f aca="false">B65-E65</f>
        <v>100000</v>
      </c>
    </row>
    <row r="66" customFormat="false" ht="15" hidden="false" customHeight="false" outlineLevel="0" collapsed="false">
      <c r="A66" s="0" t="n">
        <v>65</v>
      </c>
      <c r="B66" s="9" t="n">
        <f aca="false">F65</f>
        <v>100000</v>
      </c>
      <c r="C66" s="9" t="n">
        <f aca="false">D66</f>
        <v>583.333333333333</v>
      </c>
      <c r="D66" s="9" t="n">
        <f aca="false">B66*Inputs!$C$8</f>
        <v>583.333333333333</v>
      </c>
      <c r="E66" s="9" t="n">
        <v>0</v>
      </c>
      <c r="F66" s="9" t="n">
        <f aca="false">B66-E66</f>
        <v>100000</v>
      </c>
    </row>
    <row r="67" customFormat="false" ht="15" hidden="false" customHeight="false" outlineLevel="0" collapsed="false">
      <c r="A67" s="0" t="n">
        <v>66</v>
      </c>
      <c r="B67" s="9" t="n">
        <f aca="false">F66</f>
        <v>100000</v>
      </c>
      <c r="C67" s="9" t="n">
        <f aca="false">D67</f>
        <v>583.333333333333</v>
      </c>
      <c r="D67" s="9" t="n">
        <f aca="false">B67*Inputs!$C$8</f>
        <v>583.333333333333</v>
      </c>
      <c r="E67" s="9" t="n">
        <v>0</v>
      </c>
      <c r="F67" s="9" t="n">
        <f aca="false">B67-E67</f>
        <v>100000</v>
      </c>
    </row>
    <row r="68" customFormat="false" ht="15" hidden="false" customHeight="false" outlineLevel="0" collapsed="false">
      <c r="A68" s="0" t="n">
        <v>67</v>
      </c>
      <c r="B68" s="9" t="n">
        <f aca="false">F67</f>
        <v>100000</v>
      </c>
      <c r="C68" s="9" t="n">
        <f aca="false">D68</f>
        <v>583.333333333333</v>
      </c>
      <c r="D68" s="9" t="n">
        <f aca="false">B68*Inputs!$C$8</f>
        <v>583.333333333333</v>
      </c>
      <c r="E68" s="9" t="n">
        <v>0</v>
      </c>
      <c r="F68" s="9" t="n">
        <f aca="false">B68-E68</f>
        <v>100000</v>
      </c>
    </row>
    <row r="69" customFormat="false" ht="15" hidden="false" customHeight="false" outlineLevel="0" collapsed="false">
      <c r="A69" s="0" t="n">
        <v>68</v>
      </c>
      <c r="B69" s="9" t="n">
        <f aca="false">F68</f>
        <v>100000</v>
      </c>
      <c r="C69" s="9" t="n">
        <f aca="false">D69</f>
        <v>583.333333333333</v>
      </c>
      <c r="D69" s="9" t="n">
        <f aca="false">B69*Inputs!$C$8</f>
        <v>583.333333333333</v>
      </c>
      <c r="E69" s="9" t="n">
        <v>0</v>
      </c>
      <c r="F69" s="9" t="n">
        <f aca="false">B69-E69</f>
        <v>100000</v>
      </c>
    </row>
    <row r="70" customFormat="false" ht="15" hidden="false" customHeight="false" outlineLevel="0" collapsed="false">
      <c r="A70" s="0" t="n">
        <v>69</v>
      </c>
      <c r="B70" s="9" t="n">
        <f aca="false">F69</f>
        <v>100000</v>
      </c>
      <c r="C70" s="9" t="n">
        <f aca="false">D70</f>
        <v>583.333333333333</v>
      </c>
      <c r="D70" s="9" t="n">
        <f aca="false">B70*Inputs!$C$8</f>
        <v>583.333333333333</v>
      </c>
      <c r="E70" s="9" t="n">
        <v>0</v>
      </c>
      <c r="F70" s="9" t="n">
        <f aca="false">B70-E70</f>
        <v>100000</v>
      </c>
    </row>
    <row r="71" customFormat="false" ht="15" hidden="false" customHeight="false" outlineLevel="0" collapsed="false">
      <c r="A71" s="0" t="n">
        <v>70</v>
      </c>
      <c r="B71" s="9" t="n">
        <f aca="false">F70</f>
        <v>100000</v>
      </c>
      <c r="C71" s="9" t="n">
        <f aca="false">D71</f>
        <v>583.333333333333</v>
      </c>
      <c r="D71" s="9" t="n">
        <f aca="false">B71*Inputs!$C$8</f>
        <v>583.333333333333</v>
      </c>
      <c r="E71" s="9" t="n">
        <v>0</v>
      </c>
      <c r="F71" s="9" t="n">
        <f aca="false">B71-E71</f>
        <v>100000</v>
      </c>
    </row>
    <row r="72" customFormat="false" ht="15" hidden="false" customHeight="false" outlineLevel="0" collapsed="false">
      <c r="A72" s="0" t="n">
        <v>71</v>
      </c>
      <c r="B72" s="9" t="n">
        <f aca="false">F71</f>
        <v>100000</v>
      </c>
      <c r="C72" s="9" t="n">
        <f aca="false">D72</f>
        <v>583.333333333333</v>
      </c>
      <c r="D72" s="9" t="n">
        <f aca="false">B72*Inputs!$C$8</f>
        <v>583.333333333333</v>
      </c>
      <c r="E72" s="9" t="n">
        <v>0</v>
      </c>
      <c r="F72" s="9" t="n">
        <f aca="false">B72-E72</f>
        <v>100000</v>
      </c>
    </row>
    <row r="73" customFormat="false" ht="15" hidden="false" customHeight="false" outlineLevel="0" collapsed="false">
      <c r="A73" s="0" t="n">
        <v>72</v>
      </c>
      <c r="B73" s="9" t="n">
        <f aca="false">F72</f>
        <v>100000</v>
      </c>
      <c r="C73" s="9" t="n">
        <f aca="false">D73</f>
        <v>583.333333333333</v>
      </c>
      <c r="D73" s="9" t="n">
        <f aca="false">B73*Inputs!$C$8</f>
        <v>583.333333333333</v>
      </c>
      <c r="E73" s="9" t="n">
        <v>0</v>
      </c>
      <c r="F73" s="9" t="n">
        <f aca="false">B73-E73</f>
        <v>100000</v>
      </c>
    </row>
    <row r="74" customFormat="false" ht="15" hidden="false" customHeight="false" outlineLevel="0" collapsed="false">
      <c r="A74" s="0" t="n">
        <v>73</v>
      </c>
      <c r="B74" s="9" t="n">
        <f aca="false">F73</f>
        <v>100000</v>
      </c>
      <c r="C74" s="9" t="n">
        <f aca="false">D74</f>
        <v>583.333333333333</v>
      </c>
      <c r="D74" s="9" t="n">
        <f aca="false">B74*Inputs!$C$8</f>
        <v>583.333333333333</v>
      </c>
      <c r="E74" s="9" t="n">
        <v>0</v>
      </c>
      <c r="F74" s="9" t="n">
        <f aca="false">B74-E74</f>
        <v>100000</v>
      </c>
    </row>
    <row r="75" customFormat="false" ht="15" hidden="false" customHeight="false" outlineLevel="0" collapsed="false">
      <c r="A75" s="0" t="n">
        <v>74</v>
      </c>
      <c r="B75" s="9" t="n">
        <f aca="false">F74</f>
        <v>100000</v>
      </c>
      <c r="C75" s="9" t="n">
        <f aca="false">D75</f>
        <v>583.333333333333</v>
      </c>
      <c r="D75" s="9" t="n">
        <f aca="false">B75*Inputs!$C$8</f>
        <v>583.333333333333</v>
      </c>
      <c r="E75" s="9" t="n">
        <v>0</v>
      </c>
      <c r="F75" s="9" t="n">
        <f aca="false">B75-E75</f>
        <v>100000</v>
      </c>
    </row>
    <row r="76" customFormat="false" ht="15" hidden="false" customHeight="false" outlineLevel="0" collapsed="false">
      <c r="A76" s="0" t="n">
        <v>75</v>
      </c>
      <c r="B76" s="9" t="n">
        <f aca="false">F75</f>
        <v>100000</v>
      </c>
      <c r="C76" s="9" t="n">
        <f aca="false">D76</f>
        <v>583.333333333333</v>
      </c>
      <c r="D76" s="9" t="n">
        <f aca="false">B76*Inputs!$C$8</f>
        <v>583.333333333333</v>
      </c>
      <c r="E76" s="9" t="n">
        <v>0</v>
      </c>
      <c r="F76" s="9" t="n">
        <f aca="false">B76-E76</f>
        <v>100000</v>
      </c>
    </row>
    <row r="77" customFormat="false" ht="15" hidden="false" customHeight="false" outlineLevel="0" collapsed="false">
      <c r="A77" s="0" t="n">
        <v>76</v>
      </c>
      <c r="B77" s="9" t="n">
        <f aca="false">F76</f>
        <v>100000</v>
      </c>
      <c r="C77" s="9" t="n">
        <f aca="false">D77</f>
        <v>583.333333333333</v>
      </c>
      <c r="D77" s="9" t="n">
        <f aca="false">B77*Inputs!$C$8</f>
        <v>583.333333333333</v>
      </c>
      <c r="E77" s="9" t="n">
        <v>0</v>
      </c>
      <c r="F77" s="9" t="n">
        <f aca="false">B77-E77</f>
        <v>100000</v>
      </c>
    </row>
    <row r="78" customFormat="false" ht="15" hidden="false" customHeight="false" outlineLevel="0" collapsed="false">
      <c r="A78" s="0" t="n">
        <v>77</v>
      </c>
      <c r="B78" s="9" t="n">
        <f aca="false">F77</f>
        <v>100000</v>
      </c>
      <c r="C78" s="9" t="n">
        <f aca="false">D78</f>
        <v>583.333333333333</v>
      </c>
      <c r="D78" s="9" t="n">
        <f aca="false">B78*Inputs!$C$8</f>
        <v>583.333333333333</v>
      </c>
      <c r="E78" s="9" t="n">
        <v>0</v>
      </c>
      <c r="F78" s="9" t="n">
        <f aca="false">B78-E78</f>
        <v>100000</v>
      </c>
    </row>
    <row r="79" customFormat="false" ht="15" hidden="false" customHeight="false" outlineLevel="0" collapsed="false">
      <c r="A79" s="0" t="n">
        <v>78</v>
      </c>
      <c r="B79" s="9" t="n">
        <f aca="false">F78</f>
        <v>100000</v>
      </c>
      <c r="C79" s="9" t="n">
        <f aca="false">D79</f>
        <v>583.333333333333</v>
      </c>
      <c r="D79" s="9" t="n">
        <f aca="false">B79*Inputs!$C$8</f>
        <v>583.333333333333</v>
      </c>
      <c r="E79" s="9" t="n">
        <v>0</v>
      </c>
      <c r="F79" s="9" t="n">
        <f aca="false">B79-E79</f>
        <v>100000</v>
      </c>
    </row>
    <row r="80" customFormat="false" ht="15" hidden="false" customHeight="false" outlineLevel="0" collapsed="false">
      <c r="A80" s="0" t="n">
        <v>79</v>
      </c>
      <c r="B80" s="9" t="n">
        <f aca="false">F79</f>
        <v>100000</v>
      </c>
      <c r="C80" s="9" t="n">
        <f aca="false">D80</f>
        <v>583.333333333333</v>
      </c>
      <c r="D80" s="9" t="n">
        <f aca="false">B80*Inputs!$C$8</f>
        <v>583.333333333333</v>
      </c>
      <c r="E80" s="9" t="n">
        <v>0</v>
      </c>
      <c r="F80" s="9" t="n">
        <f aca="false">B80-E80</f>
        <v>100000</v>
      </c>
    </row>
    <row r="81" customFormat="false" ht="15" hidden="false" customHeight="false" outlineLevel="0" collapsed="false">
      <c r="A81" s="0" t="n">
        <v>80</v>
      </c>
      <c r="B81" s="9" t="n">
        <f aca="false">F80</f>
        <v>100000</v>
      </c>
      <c r="C81" s="9" t="n">
        <f aca="false">D81</f>
        <v>583.333333333333</v>
      </c>
      <c r="D81" s="9" t="n">
        <f aca="false">B81*Inputs!$C$8</f>
        <v>583.333333333333</v>
      </c>
      <c r="E81" s="9" t="n">
        <v>0</v>
      </c>
      <c r="F81" s="9" t="n">
        <f aca="false">B81-E81</f>
        <v>100000</v>
      </c>
    </row>
    <row r="82" customFormat="false" ht="15" hidden="false" customHeight="false" outlineLevel="0" collapsed="false">
      <c r="A82" s="0" t="n">
        <v>81</v>
      </c>
      <c r="B82" s="9" t="n">
        <f aca="false">F81</f>
        <v>100000</v>
      </c>
      <c r="C82" s="9" t="n">
        <f aca="false">D82</f>
        <v>583.333333333333</v>
      </c>
      <c r="D82" s="9" t="n">
        <f aca="false">B82*Inputs!$C$8</f>
        <v>583.333333333333</v>
      </c>
      <c r="E82" s="9" t="n">
        <v>0</v>
      </c>
      <c r="F82" s="9" t="n">
        <f aca="false">B82-E82</f>
        <v>100000</v>
      </c>
    </row>
    <row r="83" customFormat="false" ht="15" hidden="false" customHeight="false" outlineLevel="0" collapsed="false">
      <c r="A83" s="0" t="n">
        <v>82</v>
      </c>
      <c r="B83" s="9" t="n">
        <f aca="false">F82</f>
        <v>100000</v>
      </c>
      <c r="C83" s="9" t="n">
        <f aca="false">D83</f>
        <v>583.333333333333</v>
      </c>
      <c r="D83" s="9" t="n">
        <f aca="false">B83*Inputs!$C$8</f>
        <v>583.333333333333</v>
      </c>
      <c r="E83" s="9" t="n">
        <v>0</v>
      </c>
      <c r="F83" s="9" t="n">
        <f aca="false">B83-E83</f>
        <v>100000</v>
      </c>
    </row>
    <row r="84" customFormat="false" ht="15" hidden="false" customHeight="false" outlineLevel="0" collapsed="false">
      <c r="A84" s="0" t="n">
        <v>83</v>
      </c>
      <c r="B84" s="9" t="n">
        <f aca="false">F83</f>
        <v>100000</v>
      </c>
      <c r="C84" s="9" t="n">
        <f aca="false">D84</f>
        <v>583.333333333333</v>
      </c>
      <c r="D84" s="9" t="n">
        <f aca="false">B84*Inputs!$C$8</f>
        <v>583.333333333333</v>
      </c>
      <c r="E84" s="9" t="n">
        <v>0</v>
      </c>
      <c r="F84" s="9" t="n">
        <f aca="false">B84-E84</f>
        <v>100000</v>
      </c>
    </row>
    <row r="85" customFormat="false" ht="15" hidden="false" customHeight="false" outlineLevel="0" collapsed="false">
      <c r="A85" s="0" t="n">
        <v>84</v>
      </c>
      <c r="B85" s="9" t="n">
        <f aca="false">F84</f>
        <v>100000</v>
      </c>
      <c r="C85" s="9" t="n">
        <f aca="false">D85</f>
        <v>583.333333333333</v>
      </c>
      <c r="D85" s="9" t="n">
        <f aca="false">B85*Inputs!$C$8</f>
        <v>583.333333333333</v>
      </c>
      <c r="E85" s="9" t="n">
        <v>0</v>
      </c>
      <c r="F85" s="9" t="n">
        <f aca="false">B85-E85</f>
        <v>100000</v>
      </c>
    </row>
    <row r="86" customFormat="false" ht="15" hidden="false" customHeight="false" outlineLevel="0" collapsed="false">
      <c r="A86" s="0" t="n">
        <v>85</v>
      </c>
      <c r="B86" s="9" t="n">
        <f aca="false">F85</f>
        <v>100000</v>
      </c>
      <c r="C86" s="9" t="n">
        <f aca="false">D86</f>
        <v>583.333333333333</v>
      </c>
      <c r="D86" s="9" t="n">
        <f aca="false">B86*Inputs!$C$8</f>
        <v>583.333333333333</v>
      </c>
      <c r="E86" s="9" t="n">
        <v>0</v>
      </c>
      <c r="F86" s="9" t="n">
        <f aca="false">B86-E86</f>
        <v>100000</v>
      </c>
    </row>
    <row r="87" customFormat="false" ht="15" hidden="false" customHeight="false" outlineLevel="0" collapsed="false">
      <c r="A87" s="0" t="n">
        <v>86</v>
      </c>
      <c r="B87" s="9" t="n">
        <f aca="false">F86</f>
        <v>100000</v>
      </c>
      <c r="C87" s="9" t="n">
        <f aca="false">D87</f>
        <v>583.333333333333</v>
      </c>
      <c r="D87" s="9" t="n">
        <f aca="false">B87*Inputs!$C$8</f>
        <v>583.333333333333</v>
      </c>
      <c r="E87" s="9" t="n">
        <v>0</v>
      </c>
      <c r="F87" s="9" t="n">
        <f aca="false">B87-E87</f>
        <v>100000</v>
      </c>
    </row>
    <row r="88" customFormat="false" ht="15" hidden="false" customHeight="false" outlineLevel="0" collapsed="false">
      <c r="A88" s="0" t="n">
        <v>87</v>
      </c>
      <c r="B88" s="9" t="n">
        <f aca="false">F87</f>
        <v>100000</v>
      </c>
      <c r="C88" s="9" t="n">
        <f aca="false">D88</f>
        <v>583.333333333333</v>
      </c>
      <c r="D88" s="9" t="n">
        <f aca="false">B88*Inputs!$C$8</f>
        <v>583.333333333333</v>
      </c>
      <c r="E88" s="9" t="n">
        <v>0</v>
      </c>
      <c r="F88" s="9" t="n">
        <f aca="false">B88-E88</f>
        <v>100000</v>
      </c>
    </row>
    <row r="89" customFormat="false" ht="15" hidden="false" customHeight="false" outlineLevel="0" collapsed="false">
      <c r="A89" s="0" t="n">
        <v>88</v>
      </c>
      <c r="B89" s="9" t="n">
        <f aca="false">F88</f>
        <v>100000</v>
      </c>
      <c r="C89" s="9" t="n">
        <f aca="false">D89</f>
        <v>583.333333333333</v>
      </c>
      <c r="D89" s="9" t="n">
        <f aca="false">B89*Inputs!$C$8</f>
        <v>583.333333333333</v>
      </c>
      <c r="E89" s="9" t="n">
        <v>0</v>
      </c>
      <c r="F89" s="9" t="n">
        <f aca="false">B89-E89</f>
        <v>100000</v>
      </c>
    </row>
    <row r="90" customFormat="false" ht="15" hidden="false" customHeight="false" outlineLevel="0" collapsed="false">
      <c r="A90" s="0" t="n">
        <v>89</v>
      </c>
      <c r="B90" s="9" t="n">
        <f aca="false">F89</f>
        <v>100000</v>
      </c>
      <c r="C90" s="9" t="n">
        <f aca="false">D90</f>
        <v>583.333333333333</v>
      </c>
      <c r="D90" s="9" t="n">
        <f aca="false">B90*Inputs!$C$8</f>
        <v>583.333333333333</v>
      </c>
      <c r="E90" s="9" t="n">
        <v>0</v>
      </c>
      <c r="F90" s="9" t="n">
        <f aca="false">B90-E90</f>
        <v>100000</v>
      </c>
    </row>
    <row r="91" customFormat="false" ht="15" hidden="false" customHeight="false" outlineLevel="0" collapsed="false">
      <c r="A91" s="0" t="n">
        <v>90</v>
      </c>
      <c r="B91" s="9" t="n">
        <f aca="false">F90</f>
        <v>100000</v>
      </c>
      <c r="C91" s="9" t="n">
        <f aca="false">D91</f>
        <v>583.333333333333</v>
      </c>
      <c r="D91" s="9" t="n">
        <f aca="false">B91*Inputs!$C$8</f>
        <v>583.333333333333</v>
      </c>
      <c r="E91" s="9" t="n">
        <v>0</v>
      </c>
      <c r="F91" s="9" t="n">
        <f aca="false">B91-E91</f>
        <v>100000</v>
      </c>
    </row>
    <row r="92" customFormat="false" ht="15" hidden="false" customHeight="false" outlineLevel="0" collapsed="false">
      <c r="A92" s="0" t="n">
        <v>91</v>
      </c>
      <c r="B92" s="9" t="n">
        <f aca="false">F91</f>
        <v>100000</v>
      </c>
      <c r="C92" s="9" t="n">
        <f aca="false">D92</f>
        <v>583.333333333333</v>
      </c>
      <c r="D92" s="9" t="n">
        <f aca="false">B92*Inputs!$C$8</f>
        <v>583.333333333333</v>
      </c>
      <c r="E92" s="9" t="n">
        <v>0</v>
      </c>
      <c r="F92" s="9" t="n">
        <f aca="false">B92-E92</f>
        <v>100000</v>
      </c>
    </row>
    <row r="93" customFormat="false" ht="15" hidden="false" customHeight="false" outlineLevel="0" collapsed="false">
      <c r="A93" s="0" t="n">
        <v>92</v>
      </c>
      <c r="B93" s="9" t="n">
        <f aca="false">F92</f>
        <v>100000</v>
      </c>
      <c r="C93" s="9" t="n">
        <f aca="false">D93</f>
        <v>583.333333333333</v>
      </c>
      <c r="D93" s="9" t="n">
        <f aca="false">B93*Inputs!$C$8</f>
        <v>583.333333333333</v>
      </c>
      <c r="E93" s="9" t="n">
        <v>0</v>
      </c>
      <c r="F93" s="9" t="n">
        <f aca="false">B93-E93</f>
        <v>100000</v>
      </c>
    </row>
    <row r="94" customFormat="false" ht="15" hidden="false" customHeight="false" outlineLevel="0" collapsed="false">
      <c r="A94" s="0" t="n">
        <v>93</v>
      </c>
      <c r="B94" s="9" t="n">
        <f aca="false">F93</f>
        <v>100000</v>
      </c>
      <c r="C94" s="9" t="n">
        <f aca="false">D94</f>
        <v>583.333333333333</v>
      </c>
      <c r="D94" s="9" t="n">
        <f aca="false">B94*Inputs!$C$8</f>
        <v>583.333333333333</v>
      </c>
      <c r="E94" s="9" t="n">
        <v>0</v>
      </c>
      <c r="F94" s="9" t="n">
        <f aca="false">B94-E94</f>
        <v>100000</v>
      </c>
    </row>
    <row r="95" customFormat="false" ht="15" hidden="false" customHeight="false" outlineLevel="0" collapsed="false">
      <c r="A95" s="0" t="n">
        <v>94</v>
      </c>
      <c r="B95" s="9" t="n">
        <f aca="false">F94</f>
        <v>100000</v>
      </c>
      <c r="C95" s="9" t="n">
        <f aca="false">D95</f>
        <v>583.333333333333</v>
      </c>
      <c r="D95" s="9" t="n">
        <f aca="false">B95*Inputs!$C$8</f>
        <v>583.333333333333</v>
      </c>
      <c r="E95" s="9" t="n">
        <v>0</v>
      </c>
      <c r="F95" s="9" t="n">
        <f aca="false">B95-E95</f>
        <v>100000</v>
      </c>
    </row>
    <row r="96" customFormat="false" ht="15" hidden="false" customHeight="false" outlineLevel="0" collapsed="false">
      <c r="A96" s="0" t="n">
        <v>95</v>
      </c>
      <c r="B96" s="9" t="n">
        <f aca="false">F95</f>
        <v>100000</v>
      </c>
      <c r="C96" s="9" t="n">
        <f aca="false">D96</f>
        <v>583.333333333333</v>
      </c>
      <c r="D96" s="9" t="n">
        <f aca="false">B96*Inputs!$C$8</f>
        <v>583.333333333333</v>
      </c>
      <c r="E96" s="9" t="n">
        <v>0</v>
      </c>
      <c r="F96" s="9" t="n">
        <f aca="false">B96-E96</f>
        <v>100000</v>
      </c>
    </row>
    <row r="97" customFormat="false" ht="15" hidden="false" customHeight="false" outlineLevel="0" collapsed="false">
      <c r="A97" s="0" t="n">
        <v>96</v>
      </c>
      <c r="B97" s="9" t="n">
        <f aca="false">F96</f>
        <v>100000</v>
      </c>
      <c r="C97" s="9" t="n">
        <f aca="false">D97</f>
        <v>583.333333333333</v>
      </c>
      <c r="D97" s="9" t="n">
        <f aca="false">B97*Inputs!$C$8</f>
        <v>583.333333333333</v>
      </c>
      <c r="E97" s="9" t="n">
        <v>0</v>
      </c>
      <c r="F97" s="9" t="n">
        <f aca="false">B97-E97</f>
        <v>100000</v>
      </c>
    </row>
    <row r="98" customFormat="false" ht="15" hidden="false" customHeight="false" outlineLevel="0" collapsed="false">
      <c r="A98" s="0" t="n">
        <v>97</v>
      </c>
      <c r="B98" s="9" t="n">
        <f aca="false">F97</f>
        <v>100000</v>
      </c>
      <c r="C98" s="9" t="n">
        <f aca="false">D98</f>
        <v>583.333333333333</v>
      </c>
      <c r="D98" s="9" t="n">
        <f aca="false">B98*Inputs!$C$8</f>
        <v>583.333333333333</v>
      </c>
      <c r="E98" s="9" t="n">
        <v>0</v>
      </c>
      <c r="F98" s="9" t="n">
        <f aca="false">B98-E98</f>
        <v>100000</v>
      </c>
    </row>
    <row r="99" customFormat="false" ht="15" hidden="false" customHeight="false" outlineLevel="0" collapsed="false">
      <c r="A99" s="0" t="n">
        <v>98</v>
      </c>
      <c r="B99" s="9" t="n">
        <f aca="false">F98</f>
        <v>100000</v>
      </c>
      <c r="C99" s="9" t="n">
        <f aca="false">D99</f>
        <v>583.333333333333</v>
      </c>
      <c r="D99" s="9" t="n">
        <f aca="false">B99*Inputs!$C$8</f>
        <v>583.333333333333</v>
      </c>
      <c r="E99" s="9" t="n">
        <v>0</v>
      </c>
      <c r="F99" s="9" t="n">
        <f aca="false">B99-E99</f>
        <v>100000</v>
      </c>
    </row>
    <row r="100" customFormat="false" ht="15" hidden="false" customHeight="false" outlineLevel="0" collapsed="false">
      <c r="A100" s="0" t="n">
        <v>99</v>
      </c>
      <c r="B100" s="9" t="n">
        <f aca="false">F99</f>
        <v>100000</v>
      </c>
      <c r="C100" s="9" t="n">
        <f aca="false">D100</f>
        <v>583.333333333333</v>
      </c>
      <c r="D100" s="9" t="n">
        <f aca="false">B100*Inputs!$C$8</f>
        <v>583.333333333333</v>
      </c>
      <c r="E100" s="9" t="n">
        <v>0</v>
      </c>
      <c r="F100" s="9" t="n">
        <f aca="false">B100-E100</f>
        <v>100000</v>
      </c>
    </row>
    <row r="101" customFormat="false" ht="15" hidden="false" customHeight="false" outlineLevel="0" collapsed="false">
      <c r="A101" s="0" t="n">
        <v>100</v>
      </c>
      <c r="B101" s="9" t="n">
        <f aca="false">F100</f>
        <v>100000</v>
      </c>
      <c r="C101" s="9" t="n">
        <f aca="false">D101</f>
        <v>583.333333333333</v>
      </c>
      <c r="D101" s="9" t="n">
        <f aca="false">B101*Inputs!$C$8</f>
        <v>583.333333333333</v>
      </c>
      <c r="E101" s="9" t="n">
        <v>0</v>
      </c>
      <c r="F101" s="9" t="n">
        <f aca="false">B101-E101</f>
        <v>100000</v>
      </c>
    </row>
    <row r="102" customFormat="false" ht="15" hidden="false" customHeight="false" outlineLevel="0" collapsed="false">
      <c r="A102" s="0" t="n">
        <v>101</v>
      </c>
      <c r="B102" s="9" t="n">
        <f aca="false">F101</f>
        <v>100000</v>
      </c>
      <c r="C102" s="9" t="n">
        <f aca="false">D102</f>
        <v>583.333333333333</v>
      </c>
      <c r="D102" s="9" t="n">
        <f aca="false">B102*Inputs!$C$8</f>
        <v>583.333333333333</v>
      </c>
      <c r="E102" s="9" t="n">
        <v>0</v>
      </c>
      <c r="F102" s="9" t="n">
        <f aca="false">B102-E102</f>
        <v>100000</v>
      </c>
    </row>
    <row r="103" customFormat="false" ht="15" hidden="false" customHeight="false" outlineLevel="0" collapsed="false">
      <c r="A103" s="0" t="n">
        <v>102</v>
      </c>
      <c r="B103" s="9" t="n">
        <f aca="false">F102</f>
        <v>100000</v>
      </c>
      <c r="C103" s="9" t="n">
        <f aca="false">D103</f>
        <v>583.333333333333</v>
      </c>
      <c r="D103" s="9" t="n">
        <f aca="false">B103*Inputs!$C$8</f>
        <v>583.333333333333</v>
      </c>
      <c r="E103" s="9" t="n">
        <v>0</v>
      </c>
      <c r="F103" s="9" t="n">
        <f aca="false">B103-E103</f>
        <v>100000</v>
      </c>
    </row>
    <row r="104" customFormat="false" ht="15" hidden="false" customHeight="false" outlineLevel="0" collapsed="false">
      <c r="A104" s="0" t="n">
        <v>103</v>
      </c>
      <c r="B104" s="9" t="n">
        <f aca="false">F103</f>
        <v>100000</v>
      </c>
      <c r="C104" s="9" t="n">
        <f aca="false">D104</f>
        <v>583.333333333333</v>
      </c>
      <c r="D104" s="9" t="n">
        <f aca="false">B104*Inputs!$C$8</f>
        <v>583.333333333333</v>
      </c>
      <c r="E104" s="9" t="n">
        <v>0</v>
      </c>
      <c r="F104" s="9" t="n">
        <f aca="false">B104-E104</f>
        <v>100000</v>
      </c>
    </row>
    <row r="105" customFormat="false" ht="15" hidden="false" customHeight="false" outlineLevel="0" collapsed="false">
      <c r="A105" s="0" t="n">
        <v>104</v>
      </c>
      <c r="B105" s="9" t="n">
        <f aca="false">F104</f>
        <v>100000</v>
      </c>
      <c r="C105" s="9" t="n">
        <f aca="false">D105</f>
        <v>583.333333333333</v>
      </c>
      <c r="D105" s="9" t="n">
        <f aca="false">B105*Inputs!$C$8</f>
        <v>583.333333333333</v>
      </c>
      <c r="E105" s="9" t="n">
        <v>0</v>
      </c>
      <c r="F105" s="9" t="n">
        <f aca="false">B105-E105</f>
        <v>100000</v>
      </c>
    </row>
    <row r="106" customFormat="false" ht="15" hidden="false" customHeight="false" outlineLevel="0" collapsed="false">
      <c r="A106" s="0" t="n">
        <v>105</v>
      </c>
      <c r="B106" s="9" t="n">
        <f aca="false">F105</f>
        <v>100000</v>
      </c>
      <c r="C106" s="9" t="n">
        <f aca="false">D106</f>
        <v>583.333333333333</v>
      </c>
      <c r="D106" s="9" t="n">
        <f aca="false">B106*Inputs!$C$8</f>
        <v>583.333333333333</v>
      </c>
      <c r="E106" s="9" t="n">
        <v>0</v>
      </c>
      <c r="F106" s="9" t="n">
        <f aca="false">B106-E106</f>
        <v>100000</v>
      </c>
    </row>
    <row r="107" customFormat="false" ht="15" hidden="false" customHeight="false" outlineLevel="0" collapsed="false">
      <c r="A107" s="0" t="n">
        <v>106</v>
      </c>
      <c r="B107" s="9" t="n">
        <f aca="false">F106</f>
        <v>100000</v>
      </c>
      <c r="C107" s="9" t="n">
        <f aca="false">D107</f>
        <v>583.333333333333</v>
      </c>
      <c r="D107" s="9" t="n">
        <f aca="false">B107*Inputs!$C$8</f>
        <v>583.333333333333</v>
      </c>
      <c r="E107" s="9" t="n">
        <v>0</v>
      </c>
      <c r="F107" s="9" t="n">
        <f aca="false">B107-E107</f>
        <v>100000</v>
      </c>
    </row>
    <row r="108" customFormat="false" ht="15" hidden="false" customHeight="false" outlineLevel="0" collapsed="false">
      <c r="A108" s="0" t="n">
        <v>107</v>
      </c>
      <c r="B108" s="9" t="n">
        <f aca="false">F107</f>
        <v>100000</v>
      </c>
      <c r="C108" s="9" t="n">
        <f aca="false">D108</f>
        <v>583.333333333333</v>
      </c>
      <c r="D108" s="9" t="n">
        <f aca="false">B108*Inputs!$C$8</f>
        <v>583.333333333333</v>
      </c>
      <c r="E108" s="9" t="n">
        <v>0</v>
      </c>
      <c r="F108" s="9" t="n">
        <f aca="false">B108-E108</f>
        <v>100000</v>
      </c>
    </row>
    <row r="109" customFormat="false" ht="15" hidden="false" customHeight="false" outlineLevel="0" collapsed="false">
      <c r="A109" s="0" t="n">
        <v>108</v>
      </c>
      <c r="B109" s="9" t="n">
        <f aca="false">F108</f>
        <v>100000</v>
      </c>
      <c r="C109" s="9" t="n">
        <f aca="false">D109</f>
        <v>583.333333333333</v>
      </c>
      <c r="D109" s="9" t="n">
        <f aca="false">B109*Inputs!$C$8</f>
        <v>583.333333333333</v>
      </c>
      <c r="E109" s="9" t="n">
        <v>0</v>
      </c>
      <c r="F109" s="9" t="n">
        <f aca="false">B109-E109</f>
        <v>100000</v>
      </c>
    </row>
    <row r="110" customFormat="false" ht="15" hidden="false" customHeight="false" outlineLevel="0" collapsed="false">
      <c r="A110" s="0" t="n">
        <v>109</v>
      </c>
      <c r="B110" s="9" t="n">
        <f aca="false">F109</f>
        <v>100000</v>
      </c>
      <c r="C110" s="9" t="n">
        <f aca="false">D110</f>
        <v>583.333333333333</v>
      </c>
      <c r="D110" s="9" t="n">
        <f aca="false">B110*Inputs!$C$8</f>
        <v>583.333333333333</v>
      </c>
      <c r="E110" s="9" t="n">
        <v>0</v>
      </c>
      <c r="F110" s="9" t="n">
        <f aca="false">B110-E110</f>
        <v>100000</v>
      </c>
    </row>
    <row r="111" customFormat="false" ht="15" hidden="false" customHeight="false" outlineLevel="0" collapsed="false">
      <c r="A111" s="0" t="n">
        <v>110</v>
      </c>
      <c r="B111" s="9" t="n">
        <f aca="false">F110</f>
        <v>100000</v>
      </c>
      <c r="C111" s="9" t="n">
        <f aca="false">D111</f>
        <v>583.333333333333</v>
      </c>
      <c r="D111" s="9" t="n">
        <f aca="false">B111*Inputs!$C$8</f>
        <v>583.333333333333</v>
      </c>
      <c r="E111" s="9" t="n">
        <v>0</v>
      </c>
      <c r="F111" s="9" t="n">
        <f aca="false">B111-E111</f>
        <v>100000</v>
      </c>
    </row>
    <row r="112" customFormat="false" ht="15" hidden="false" customHeight="false" outlineLevel="0" collapsed="false">
      <c r="A112" s="0" t="n">
        <v>111</v>
      </c>
      <c r="B112" s="9" t="n">
        <f aca="false">F111</f>
        <v>100000</v>
      </c>
      <c r="C112" s="9" t="n">
        <f aca="false">D112</f>
        <v>583.333333333333</v>
      </c>
      <c r="D112" s="9" t="n">
        <f aca="false">B112*Inputs!$C$8</f>
        <v>583.333333333333</v>
      </c>
      <c r="E112" s="9" t="n">
        <v>0</v>
      </c>
      <c r="F112" s="9" t="n">
        <f aca="false">B112-E112</f>
        <v>100000</v>
      </c>
    </row>
    <row r="113" customFormat="false" ht="15" hidden="false" customHeight="false" outlineLevel="0" collapsed="false">
      <c r="A113" s="0" t="n">
        <v>112</v>
      </c>
      <c r="B113" s="9" t="n">
        <f aca="false">F112</f>
        <v>100000</v>
      </c>
      <c r="C113" s="9" t="n">
        <f aca="false">D113</f>
        <v>583.333333333333</v>
      </c>
      <c r="D113" s="9" t="n">
        <f aca="false">B113*Inputs!$C$8</f>
        <v>583.333333333333</v>
      </c>
      <c r="E113" s="9" t="n">
        <v>0</v>
      </c>
      <c r="F113" s="9" t="n">
        <f aca="false">B113-E113</f>
        <v>100000</v>
      </c>
    </row>
    <row r="114" customFormat="false" ht="15" hidden="false" customHeight="false" outlineLevel="0" collapsed="false">
      <c r="A114" s="0" t="n">
        <v>113</v>
      </c>
      <c r="B114" s="9" t="n">
        <f aca="false">F113</f>
        <v>100000</v>
      </c>
      <c r="C114" s="9" t="n">
        <f aca="false">D114</f>
        <v>583.333333333333</v>
      </c>
      <c r="D114" s="9" t="n">
        <f aca="false">B114*Inputs!$C$8</f>
        <v>583.333333333333</v>
      </c>
      <c r="E114" s="9" t="n">
        <v>0</v>
      </c>
      <c r="F114" s="9" t="n">
        <f aca="false">B114-E114</f>
        <v>100000</v>
      </c>
    </row>
    <row r="115" customFormat="false" ht="15" hidden="false" customHeight="false" outlineLevel="0" collapsed="false">
      <c r="A115" s="0" t="n">
        <v>114</v>
      </c>
      <c r="B115" s="9" t="n">
        <f aca="false">F114</f>
        <v>100000</v>
      </c>
      <c r="C115" s="9" t="n">
        <f aca="false">D115</f>
        <v>583.333333333333</v>
      </c>
      <c r="D115" s="9" t="n">
        <f aca="false">B115*Inputs!$C$8</f>
        <v>583.333333333333</v>
      </c>
      <c r="E115" s="9" t="n">
        <v>0</v>
      </c>
      <c r="F115" s="9" t="n">
        <f aca="false">B115-E115</f>
        <v>100000</v>
      </c>
    </row>
    <row r="116" customFormat="false" ht="15" hidden="false" customHeight="false" outlineLevel="0" collapsed="false">
      <c r="A116" s="0" t="n">
        <v>115</v>
      </c>
      <c r="B116" s="9" t="n">
        <f aca="false">F115</f>
        <v>100000</v>
      </c>
      <c r="C116" s="9" t="n">
        <f aca="false">D116</f>
        <v>583.333333333333</v>
      </c>
      <c r="D116" s="9" t="n">
        <f aca="false">B116*Inputs!$C$8</f>
        <v>583.333333333333</v>
      </c>
      <c r="E116" s="9" t="n">
        <v>0</v>
      </c>
      <c r="F116" s="9" t="n">
        <f aca="false">B116-E116</f>
        <v>100000</v>
      </c>
    </row>
    <row r="117" customFormat="false" ht="15" hidden="false" customHeight="false" outlineLevel="0" collapsed="false">
      <c r="A117" s="0" t="n">
        <v>116</v>
      </c>
      <c r="B117" s="9" t="n">
        <f aca="false">F116</f>
        <v>100000</v>
      </c>
      <c r="C117" s="9" t="n">
        <f aca="false">D117</f>
        <v>583.333333333333</v>
      </c>
      <c r="D117" s="9" t="n">
        <f aca="false">B117*Inputs!$C$8</f>
        <v>583.333333333333</v>
      </c>
      <c r="E117" s="9" t="n">
        <v>0</v>
      </c>
      <c r="F117" s="9" t="n">
        <f aca="false">B117-E117</f>
        <v>100000</v>
      </c>
    </row>
    <row r="118" customFormat="false" ht="15" hidden="false" customHeight="false" outlineLevel="0" collapsed="false">
      <c r="A118" s="0" t="n">
        <v>117</v>
      </c>
      <c r="B118" s="9" t="n">
        <f aca="false">F117</f>
        <v>100000</v>
      </c>
      <c r="C118" s="9" t="n">
        <f aca="false">D118</f>
        <v>583.333333333333</v>
      </c>
      <c r="D118" s="9" t="n">
        <f aca="false">B118*Inputs!$C$8</f>
        <v>583.333333333333</v>
      </c>
      <c r="E118" s="9" t="n">
        <v>0</v>
      </c>
      <c r="F118" s="9" t="n">
        <f aca="false">B118-E118</f>
        <v>100000</v>
      </c>
    </row>
    <row r="119" customFormat="false" ht="15" hidden="false" customHeight="false" outlineLevel="0" collapsed="false">
      <c r="A119" s="0" t="n">
        <v>118</v>
      </c>
      <c r="B119" s="9" t="n">
        <f aca="false">F118</f>
        <v>100000</v>
      </c>
      <c r="C119" s="9" t="n">
        <f aca="false">D119</f>
        <v>583.333333333333</v>
      </c>
      <c r="D119" s="9" t="n">
        <f aca="false">B119*Inputs!$C$8</f>
        <v>583.333333333333</v>
      </c>
      <c r="E119" s="9" t="n">
        <v>0</v>
      </c>
      <c r="F119" s="9" t="n">
        <f aca="false">B119-E119</f>
        <v>100000</v>
      </c>
    </row>
    <row r="120" customFormat="false" ht="15" hidden="false" customHeight="false" outlineLevel="0" collapsed="false">
      <c r="A120" s="0" t="n">
        <v>119</v>
      </c>
      <c r="B120" s="9" t="n">
        <f aca="false">F119</f>
        <v>100000</v>
      </c>
      <c r="C120" s="9" t="n">
        <f aca="false">D120</f>
        <v>583.333333333333</v>
      </c>
      <c r="D120" s="9" t="n">
        <f aca="false">B120*Inputs!$C$8</f>
        <v>583.333333333333</v>
      </c>
      <c r="E120" s="9" t="n">
        <v>0</v>
      </c>
      <c r="F120" s="9" t="n">
        <f aca="false">B120-E120</f>
        <v>100000</v>
      </c>
    </row>
    <row r="121" customFormat="false" ht="15" hidden="false" customHeight="false" outlineLevel="0" collapsed="false">
      <c r="A121" s="0" t="n">
        <v>120</v>
      </c>
      <c r="B121" s="9" t="n">
        <f aca="false">F120</f>
        <v>100000</v>
      </c>
      <c r="C121" s="9" t="n">
        <f aca="false">D121</f>
        <v>583.333333333333</v>
      </c>
      <c r="D121" s="9" t="n">
        <f aca="false">B121*Inputs!$C$8</f>
        <v>583.333333333333</v>
      </c>
      <c r="E121" s="9" t="n">
        <v>0</v>
      </c>
      <c r="F121" s="9" t="n">
        <f aca="false">B121-E121</f>
        <v>100000</v>
      </c>
    </row>
    <row r="122" customFormat="false" ht="15" hidden="false" customHeight="false" outlineLevel="0" collapsed="false">
      <c r="A122" s="0" t="n">
        <v>121</v>
      </c>
      <c r="B122" s="9" t="n">
        <f aca="false">F121</f>
        <v>100000</v>
      </c>
      <c r="C122" s="9" t="n">
        <f aca="false">D122</f>
        <v>583.333333333333</v>
      </c>
      <c r="D122" s="9" t="n">
        <f aca="false">B122*Inputs!$C$8</f>
        <v>583.333333333333</v>
      </c>
      <c r="E122" s="9" t="n">
        <v>0</v>
      </c>
      <c r="F122" s="9" t="n">
        <f aca="false">B122-E122</f>
        <v>100000</v>
      </c>
    </row>
    <row r="123" customFormat="false" ht="15" hidden="false" customHeight="false" outlineLevel="0" collapsed="false">
      <c r="A123" s="0" t="n">
        <v>122</v>
      </c>
      <c r="B123" s="9" t="n">
        <f aca="false">F122</f>
        <v>100000</v>
      </c>
      <c r="C123" s="9" t="n">
        <f aca="false">D123</f>
        <v>583.333333333333</v>
      </c>
      <c r="D123" s="9" t="n">
        <f aca="false">B123*Inputs!$C$8</f>
        <v>583.333333333333</v>
      </c>
      <c r="E123" s="9" t="n">
        <v>0</v>
      </c>
      <c r="F123" s="9" t="n">
        <f aca="false">B123-E123</f>
        <v>100000</v>
      </c>
    </row>
    <row r="124" customFormat="false" ht="15" hidden="false" customHeight="false" outlineLevel="0" collapsed="false">
      <c r="A124" s="0" t="n">
        <v>123</v>
      </c>
      <c r="B124" s="9" t="n">
        <f aca="false">F123</f>
        <v>100000</v>
      </c>
      <c r="C124" s="9" t="n">
        <f aca="false">D124</f>
        <v>583.333333333333</v>
      </c>
      <c r="D124" s="9" t="n">
        <f aca="false">B124*Inputs!$C$8</f>
        <v>583.333333333333</v>
      </c>
      <c r="E124" s="9" t="n">
        <v>0</v>
      </c>
      <c r="F124" s="9" t="n">
        <f aca="false">B124-E124</f>
        <v>100000</v>
      </c>
    </row>
    <row r="125" customFormat="false" ht="15" hidden="false" customHeight="false" outlineLevel="0" collapsed="false">
      <c r="A125" s="0" t="n">
        <v>124</v>
      </c>
      <c r="B125" s="9" t="n">
        <f aca="false">F124</f>
        <v>100000</v>
      </c>
      <c r="C125" s="9" t="n">
        <f aca="false">D125</f>
        <v>583.333333333333</v>
      </c>
      <c r="D125" s="9" t="n">
        <f aca="false">B125*Inputs!$C$8</f>
        <v>583.333333333333</v>
      </c>
      <c r="E125" s="9" t="n">
        <v>0</v>
      </c>
      <c r="F125" s="9" t="n">
        <f aca="false">B125-E125</f>
        <v>100000</v>
      </c>
    </row>
    <row r="126" customFormat="false" ht="15" hidden="false" customHeight="false" outlineLevel="0" collapsed="false">
      <c r="A126" s="0" t="n">
        <v>125</v>
      </c>
      <c r="B126" s="9" t="n">
        <f aca="false">F125</f>
        <v>100000</v>
      </c>
      <c r="C126" s="9" t="n">
        <f aca="false">D126</f>
        <v>583.333333333333</v>
      </c>
      <c r="D126" s="9" t="n">
        <f aca="false">B126*Inputs!$C$8</f>
        <v>583.333333333333</v>
      </c>
      <c r="E126" s="9" t="n">
        <v>0</v>
      </c>
      <c r="F126" s="9" t="n">
        <f aca="false">B126-E126</f>
        <v>100000</v>
      </c>
    </row>
    <row r="127" customFormat="false" ht="15" hidden="false" customHeight="false" outlineLevel="0" collapsed="false">
      <c r="A127" s="0" t="n">
        <v>126</v>
      </c>
      <c r="B127" s="9" t="n">
        <f aca="false">F126</f>
        <v>100000</v>
      </c>
      <c r="C127" s="9" t="n">
        <f aca="false">D127</f>
        <v>583.333333333333</v>
      </c>
      <c r="D127" s="9" t="n">
        <f aca="false">B127*Inputs!$C$8</f>
        <v>583.333333333333</v>
      </c>
      <c r="E127" s="9" t="n">
        <v>0</v>
      </c>
      <c r="F127" s="9" t="n">
        <f aca="false">B127-E127</f>
        <v>100000</v>
      </c>
    </row>
    <row r="128" customFormat="false" ht="15" hidden="false" customHeight="false" outlineLevel="0" collapsed="false">
      <c r="A128" s="0" t="n">
        <v>127</v>
      </c>
      <c r="B128" s="9" t="n">
        <f aca="false">F127</f>
        <v>100000</v>
      </c>
      <c r="C128" s="9" t="n">
        <f aca="false">D128</f>
        <v>583.333333333333</v>
      </c>
      <c r="D128" s="9" t="n">
        <f aca="false">B128*Inputs!$C$8</f>
        <v>583.333333333333</v>
      </c>
      <c r="E128" s="9" t="n">
        <v>0</v>
      </c>
      <c r="F128" s="9" t="n">
        <f aca="false">B128-E128</f>
        <v>100000</v>
      </c>
    </row>
    <row r="129" customFormat="false" ht="15" hidden="false" customHeight="false" outlineLevel="0" collapsed="false">
      <c r="A129" s="0" t="n">
        <v>128</v>
      </c>
      <c r="B129" s="9" t="n">
        <f aca="false">F128</f>
        <v>100000</v>
      </c>
      <c r="C129" s="9" t="n">
        <f aca="false">D129</f>
        <v>583.333333333333</v>
      </c>
      <c r="D129" s="9" t="n">
        <f aca="false">B129*Inputs!$C$8</f>
        <v>583.333333333333</v>
      </c>
      <c r="E129" s="9" t="n">
        <v>0</v>
      </c>
      <c r="F129" s="9" t="n">
        <f aca="false">B129-E129</f>
        <v>100000</v>
      </c>
    </row>
    <row r="130" customFormat="false" ht="15" hidden="false" customHeight="false" outlineLevel="0" collapsed="false">
      <c r="A130" s="0" t="n">
        <v>129</v>
      </c>
      <c r="B130" s="9" t="n">
        <f aca="false">F129</f>
        <v>100000</v>
      </c>
      <c r="C130" s="9" t="n">
        <f aca="false">D130</f>
        <v>583.333333333333</v>
      </c>
      <c r="D130" s="9" t="n">
        <f aca="false">B130*Inputs!$C$8</f>
        <v>583.333333333333</v>
      </c>
      <c r="E130" s="9" t="n">
        <v>0</v>
      </c>
      <c r="F130" s="9" t="n">
        <f aca="false">B130-E130</f>
        <v>100000</v>
      </c>
    </row>
    <row r="131" customFormat="false" ht="15" hidden="false" customHeight="false" outlineLevel="0" collapsed="false">
      <c r="A131" s="0" t="n">
        <v>130</v>
      </c>
      <c r="B131" s="9" t="n">
        <f aca="false">F130</f>
        <v>100000</v>
      </c>
      <c r="C131" s="9" t="n">
        <f aca="false">D131</f>
        <v>583.333333333333</v>
      </c>
      <c r="D131" s="9" t="n">
        <f aca="false">B131*Inputs!$C$8</f>
        <v>583.333333333333</v>
      </c>
      <c r="E131" s="9" t="n">
        <v>0</v>
      </c>
      <c r="F131" s="9" t="n">
        <f aca="false">B131-E131</f>
        <v>100000</v>
      </c>
    </row>
    <row r="132" customFormat="false" ht="15" hidden="false" customHeight="false" outlineLevel="0" collapsed="false">
      <c r="A132" s="0" t="n">
        <v>131</v>
      </c>
      <c r="B132" s="9" t="n">
        <f aca="false">F131</f>
        <v>100000</v>
      </c>
      <c r="C132" s="9" t="n">
        <f aca="false">D132</f>
        <v>583.333333333333</v>
      </c>
      <c r="D132" s="9" t="n">
        <f aca="false">B132*Inputs!$C$8</f>
        <v>583.333333333333</v>
      </c>
      <c r="E132" s="9" t="n">
        <v>0</v>
      </c>
      <c r="F132" s="9" t="n">
        <f aca="false">B132-E132</f>
        <v>100000</v>
      </c>
    </row>
    <row r="133" customFormat="false" ht="15" hidden="false" customHeight="false" outlineLevel="0" collapsed="false">
      <c r="A133" s="0" t="n">
        <v>132</v>
      </c>
      <c r="B133" s="9" t="n">
        <f aca="false">F132</f>
        <v>100000</v>
      </c>
      <c r="C133" s="9" t="n">
        <f aca="false">D133</f>
        <v>583.333333333333</v>
      </c>
      <c r="D133" s="9" t="n">
        <f aca="false">B133*Inputs!$C$8</f>
        <v>583.333333333333</v>
      </c>
      <c r="E133" s="9" t="n">
        <v>0</v>
      </c>
      <c r="F133" s="9" t="n">
        <f aca="false">B133-E133</f>
        <v>100000</v>
      </c>
    </row>
    <row r="134" customFormat="false" ht="15" hidden="false" customHeight="false" outlineLevel="0" collapsed="false">
      <c r="A134" s="0" t="n">
        <v>133</v>
      </c>
      <c r="B134" s="9" t="n">
        <f aca="false">F133</f>
        <v>100000</v>
      </c>
      <c r="C134" s="9" t="n">
        <f aca="false">D134</f>
        <v>583.333333333333</v>
      </c>
      <c r="D134" s="9" t="n">
        <f aca="false">B134*Inputs!$C$8</f>
        <v>583.333333333333</v>
      </c>
      <c r="E134" s="9" t="n">
        <v>0</v>
      </c>
      <c r="F134" s="9" t="n">
        <f aca="false">B134-E134</f>
        <v>100000</v>
      </c>
    </row>
    <row r="135" customFormat="false" ht="15" hidden="false" customHeight="false" outlineLevel="0" collapsed="false">
      <c r="A135" s="0" t="n">
        <v>134</v>
      </c>
      <c r="B135" s="9" t="n">
        <f aca="false">F134</f>
        <v>100000</v>
      </c>
      <c r="C135" s="9" t="n">
        <f aca="false">D135</f>
        <v>583.333333333333</v>
      </c>
      <c r="D135" s="9" t="n">
        <f aca="false">B135*Inputs!$C$8</f>
        <v>583.333333333333</v>
      </c>
      <c r="E135" s="9" t="n">
        <v>0</v>
      </c>
      <c r="F135" s="9" t="n">
        <f aca="false">B135-E135</f>
        <v>100000</v>
      </c>
    </row>
    <row r="136" customFormat="false" ht="15" hidden="false" customHeight="false" outlineLevel="0" collapsed="false">
      <c r="A136" s="0" t="n">
        <v>135</v>
      </c>
      <c r="B136" s="9" t="n">
        <f aca="false">F135</f>
        <v>100000</v>
      </c>
      <c r="C136" s="9" t="n">
        <f aca="false">D136</f>
        <v>583.333333333333</v>
      </c>
      <c r="D136" s="9" t="n">
        <f aca="false">B136*Inputs!$C$8</f>
        <v>583.333333333333</v>
      </c>
      <c r="E136" s="9" t="n">
        <v>0</v>
      </c>
      <c r="F136" s="9" t="n">
        <f aca="false">B136-E136</f>
        <v>100000</v>
      </c>
    </row>
    <row r="137" customFormat="false" ht="15" hidden="false" customHeight="false" outlineLevel="0" collapsed="false">
      <c r="A137" s="0" t="n">
        <v>136</v>
      </c>
      <c r="B137" s="9" t="n">
        <f aca="false">F136</f>
        <v>100000</v>
      </c>
      <c r="C137" s="9" t="n">
        <f aca="false">D137</f>
        <v>583.333333333333</v>
      </c>
      <c r="D137" s="9" t="n">
        <f aca="false">B137*Inputs!$C$8</f>
        <v>583.333333333333</v>
      </c>
      <c r="E137" s="9" t="n">
        <v>0</v>
      </c>
      <c r="F137" s="9" t="n">
        <f aca="false">B137-E137</f>
        <v>100000</v>
      </c>
    </row>
    <row r="138" customFormat="false" ht="15" hidden="false" customHeight="false" outlineLevel="0" collapsed="false">
      <c r="A138" s="0" t="n">
        <v>137</v>
      </c>
      <c r="B138" s="9" t="n">
        <f aca="false">F137</f>
        <v>100000</v>
      </c>
      <c r="C138" s="9" t="n">
        <f aca="false">D138</f>
        <v>583.333333333333</v>
      </c>
      <c r="D138" s="9" t="n">
        <f aca="false">B138*Inputs!$C$8</f>
        <v>583.333333333333</v>
      </c>
      <c r="E138" s="9" t="n">
        <v>0</v>
      </c>
      <c r="F138" s="9" t="n">
        <f aca="false">B138-E138</f>
        <v>100000</v>
      </c>
    </row>
    <row r="139" customFormat="false" ht="15" hidden="false" customHeight="false" outlineLevel="0" collapsed="false">
      <c r="A139" s="0" t="n">
        <v>138</v>
      </c>
      <c r="B139" s="9" t="n">
        <f aca="false">F138</f>
        <v>100000</v>
      </c>
      <c r="C139" s="9" t="n">
        <f aca="false">D139</f>
        <v>583.333333333333</v>
      </c>
      <c r="D139" s="9" t="n">
        <f aca="false">B139*Inputs!$C$8</f>
        <v>583.333333333333</v>
      </c>
      <c r="E139" s="9" t="n">
        <v>0</v>
      </c>
      <c r="F139" s="9" t="n">
        <f aca="false">B139-E139</f>
        <v>100000</v>
      </c>
    </row>
    <row r="140" customFormat="false" ht="15" hidden="false" customHeight="false" outlineLevel="0" collapsed="false">
      <c r="A140" s="0" t="n">
        <v>139</v>
      </c>
      <c r="B140" s="9" t="n">
        <f aca="false">F139</f>
        <v>100000</v>
      </c>
      <c r="C140" s="9" t="n">
        <f aca="false">D140</f>
        <v>583.333333333333</v>
      </c>
      <c r="D140" s="9" t="n">
        <f aca="false">B140*Inputs!$C$8</f>
        <v>583.333333333333</v>
      </c>
      <c r="E140" s="9" t="n">
        <v>0</v>
      </c>
      <c r="F140" s="9" t="n">
        <f aca="false">B140-E140</f>
        <v>100000</v>
      </c>
    </row>
    <row r="141" customFormat="false" ht="15" hidden="false" customHeight="false" outlineLevel="0" collapsed="false">
      <c r="A141" s="0" t="n">
        <v>140</v>
      </c>
      <c r="B141" s="9" t="n">
        <f aca="false">F140</f>
        <v>100000</v>
      </c>
      <c r="C141" s="9" t="n">
        <f aca="false">D141</f>
        <v>583.333333333333</v>
      </c>
      <c r="D141" s="9" t="n">
        <f aca="false">B141*Inputs!$C$8</f>
        <v>583.333333333333</v>
      </c>
      <c r="E141" s="9" t="n">
        <v>0</v>
      </c>
      <c r="F141" s="9" t="n">
        <f aca="false">B141-E141</f>
        <v>100000</v>
      </c>
    </row>
    <row r="142" customFormat="false" ht="15" hidden="false" customHeight="false" outlineLevel="0" collapsed="false">
      <c r="A142" s="0" t="n">
        <v>141</v>
      </c>
      <c r="B142" s="9" t="n">
        <f aca="false">F141</f>
        <v>100000</v>
      </c>
      <c r="C142" s="9" t="n">
        <f aca="false">D142</f>
        <v>583.333333333333</v>
      </c>
      <c r="D142" s="9" t="n">
        <f aca="false">B142*Inputs!$C$8</f>
        <v>583.333333333333</v>
      </c>
      <c r="E142" s="9" t="n">
        <v>0</v>
      </c>
      <c r="F142" s="9" t="n">
        <f aca="false">B142-E142</f>
        <v>100000</v>
      </c>
    </row>
    <row r="143" customFormat="false" ht="15" hidden="false" customHeight="false" outlineLevel="0" collapsed="false">
      <c r="A143" s="0" t="n">
        <v>142</v>
      </c>
      <c r="B143" s="9" t="n">
        <f aca="false">F142</f>
        <v>100000</v>
      </c>
      <c r="C143" s="9" t="n">
        <f aca="false">D143</f>
        <v>583.333333333333</v>
      </c>
      <c r="D143" s="9" t="n">
        <f aca="false">B143*Inputs!$C$8</f>
        <v>583.333333333333</v>
      </c>
      <c r="E143" s="9" t="n">
        <v>0</v>
      </c>
      <c r="F143" s="9" t="n">
        <f aca="false">B143-E143</f>
        <v>100000</v>
      </c>
    </row>
    <row r="144" customFormat="false" ht="15" hidden="false" customHeight="false" outlineLevel="0" collapsed="false">
      <c r="A144" s="0" t="n">
        <v>143</v>
      </c>
      <c r="B144" s="9" t="n">
        <f aca="false">F143</f>
        <v>100000</v>
      </c>
      <c r="C144" s="9" t="n">
        <f aca="false">D144</f>
        <v>583.333333333333</v>
      </c>
      <c r="D144" s="9" t="n">
        <f aca="false">B144*Inputs!$C$8</f>
        <v>583.333333333333</v>
      </c>
      <c r="E144" s="9" t="n">
        <v>0</v>
      </c>
      <c r="F144" s="9" t="n">
        <f aca="false">B144-E144</f>
        <v>100000</v>
      </c>
    </row>
    <row r="145" customFormat="false" ht="15" hidden="false" customHeight="false" outlineLevel="0" collapsed="false">
      <c r="A145" s="0" t="n">
        <v>144</v>
      </c>
      <c r="B145" s="9" t="n">
        <f aca="false">F144</f>
        <v>100000</v>
      </c>
      <c r="C145" s="9" t="n">
        <f aca="false">D145</f>
        <v>583.333333333333</v>
      </c>
      <c r="D145" s="9" t="n">
        <f aca="false">B145*Inputs!$C$8</f>
        <v>583.333333333333</v>
      </c>
      <c r="E145" s="9" t="n">
        <v>0</v>
      </c>
      <c r="F145" s="9" t="n">
        <f aca="false">B145-E145</f>
        <v>100000</v>
      </c>
    </row>
    <row r="146" customFormat="false" ht="15" hidden="false" customHeight="false" outlineLevel="0" collapsed="false">
      <c r="A146" s="0" t="n">
        <v>145</v>
      </c>
      <c r="B146" s="9" t="n">
        <f aca="false">F145</f>
        <v>100000</v>
      </c>
      <c r="C146" s="9" t="n">
        <f aca="false">D146</f>
        <v>583.333333333333</v>
      </c>
      <c r="D146" s="9" t="n">
        <f aca="false">B146*Inputs!$C$8</f>
        <v>583.333333333333</v>
      </c>
      <c r="E146" s="9" t="n">
        <v>0</v>
      </c>
      <c r="F146" s="9" t="n">
        <f aca="false">B146-E146</f>
        <v>100000</v>
      </c>
    </row>
    <row r="147" customFormat="false" ht="15" hidden="false" customHeight="false" outlineLevel="0" collapsed="false">
      <c r="A147" s="0" t="n">
        <v>146</v>
      </c>
      <c r="B147" s="9" t="n">
        <f aca="false">F146</f>
        <v>100000</v>
      </c>
      <c r="C147" s="9" t="n">
        <f aca="false">D147</f>
        <v>583.333333333333</v>
      </c>
      <c r="D147" s="9" t="n">
        <f aca="false">B147*Inputs!$C$8</f>
        <v>583.333333333333</v>
      </c>
      <c r="E147" s="9" t="n">
        <v>0</v>
      </c>
      <c r="F147" s="9" t="n">
        <f aca="false">B147-E147</f>
        <v>100000</v>
      </c>
    </row>
    <row r="148" customFormat="false" ht="15" hidden="false" customHeight="false" outlineLevel="0" collapsed="false">
      <c r="A148" s="0" t="n">
        <v>147</v>
      </c>
      <c r="B148" s="9" t="n">
        <f aca="false">F147</f>
        <v>100000</v>
      </c>
      <c r="C148" s="9" t="n">
        <f aca="false">D148</f>
        <v>583.333333333333</v>
      </c>
      <c r="D148" s="9" t="n">
        <f aca="false">B148*Inputs!$C$8</f>
        <v>583.333333333333</v>
      </c>
      <c r="E148" s="9" t="n">
        <v>0</v>
      </c>
      <c r="F148" s="9" t="n">
        <f aca="false">B148-E148</f>
        <v>100000</v>
      </c>
    </row>
    <row r="149" customFormat="false" ht="15" hidden="false" customHeight="false" outlineLevel="0" collapsed="false">
      <c r="A149" s="0" t="n">
        <v>148</v>
      </c>
      <c r="B149" s="9" t="n">
        <f aca="false">F148</f>
        <v>100000</v>
      </c>
      <c r="C149" s="9" t="n">
        <f aca="false">D149</f>
        <v>583.333333333333</v>
      </c>
      <c r="D149" s="9" t="n">
        <f aca="false">B149*Inputs!$C$8</f>
        <v>583.333333333333</v>
      </c>
      <c r="E149" s="9" t="n">
        <v>0</v>
      </c>
      <c r="F149" s="9" t="n">
        <f aca="false">B149-E149</f>
        <v>100000</v>
      </c>
    </row>
    <row r="150" customFormat="false" ht="15" hidden="false" customHeight="false" outlineLevel="0" collapsed="false">
      <c r="A150" s="0" t="n">
        <v>149</v>
      </c>
      <c r="B150" s="9" t="n">
        <f aca="false">F149</f>
        <v>100000</v>
      </c>
      <c r="C150" s="9" t="n">
        <f aca="false">D150</f>
        <v>583.333333333333</v>
      </c>
      <c r="D150" s="9" t="n">
        <f aca="false">B150*Inputs!$C$8</f>
        <v>583.333333333333</v>
      </c>
      <c r="E150" s="9" t="n">
        <v>0</v>
      </c>
      <c r="F150" s="9" t="n">
        <f aca="false">B150-E150</f>
        <v>100000</v>
      </c>
    </row>
    <row r="151" customFormat="false" ht="15" hidden="false" customHeight="false" outlineLevel="0" collapsed="false">
      <c r="A151" s="0" t="n">
        <v>150</v>
      </c>
      <c r="B151" s="9" t="n">
        <f aca="false">F150</f>
        <v>100000</v>
      </c>
      <c r="C151" s="9" t="n">
        <f aca="false">D151</f>
        <v>583.333333333333</v>
      </c>
      <c r="D151" s="9" t="n">
        <f aca="false">B151*Inputs!$C$8</f>
        <v>583.333333333333</v>
      </c>
      <c r="E151" s="9" t="n">
        <v>0</v>
      </c>
      <c r="F151" s="9" t="n">
        <f aca="false">B151-E151</f>
        <v>100000</v>
      </c>
    </row>
    <row r="152" customFormat="false" ht="15" hidden="false" customHeight="false" outlineLevel="0" collapsed="false">
      <c r="A152" s="0" t="n">
        <v>151</v>
      </c>
      <c r="B152" s="9" t="n">
        <f aca="false">F151</f>
        <v>100000</v>
      </c>
      <c r="C152" s="9" t="n">
        <f aca="false">D152</f>
        <v>583.333333333333</v>
      </c>
      <c r="D152" s="9" t="n">
        <f aca="false">B152*Inputs!$C$8</f>
        <v>583.333333333333</v>
      </c>
      <c r="E152" s="9" t="n">
        <v>0</v>
      </c>
      <c r="F152" s="9" t="n">
        <f aca="false">B152-E152</f>
        <v>100000</v>
      </c>
    </row>
    <row r="153" customFormat="false" ht="15" hidden="false" customHeight="false" outlineLevel="0" collapsed="false">
      <c r="A153" s="0" t="n">
        <v>152</v>
      </c>
      <c r="B153" s="9" t="n">
        <f aca="false">F152</f>
        <v>100000</v>
      </c>
      <c r="C153" s="9" t="n">
        <f aca="false">D153</f>
        <v>583.333333333333</v>
      </c>
      <c r="D153" s="9" t="n">
        <f aca="false">B153*Inputs!$C$8</f>
        <v>583.333333333333</v>
      </c>
      <c r="E153" s="9" t="n">
        <v>0</v>
      </c>
      <c r="F153" s="9" t="n">
        <f aca="false">B153-E153</f>
        <v>100000</v>
      </c>
    </row>
    <row r="154" customFormat="false" ht="15" hidden="false" customHeight="false" outlineLevel="0" collapsed="false">
      <c r="A154" s="0" t="n">
        <v>153</v>
      </c>
      <c r="B154" s="9" t="n">
        <f aca="false">F153</f>
        <v>100000</v>
      </c>
      <c r="C154" s="9" t="n">
        <f aca="false">D154</f>
        <v>583.333333333333</v>
      </c>
      <c r="D154" s="9" t="n">
        <f aca="false">B154*Inputs!$C$8</f>
        <v>583.333333333333</v>
      </c>
      <c r="E154" s="9" t="n">
        <v>0</v>
      </c>
      <c r="F154" s="9" t="n">
        <f aca="false">B154-E154</f>
        <v>100000</v>
      </c>
    </row>
    <row r="155" customFormat="false" ht="15" hidden="false" customHeight="false" outlineLevel="0" collapsed="false">
      <c r="A155" s="0" t="n">
        <v>154</v>
      </c>
      <c r="B155" s="9" t="n">
        <f aca="false">F154</f>
        <v>100000</v>
      </c>
      <c r="C155" s="9" t="n">
        <f aca="false">D155</f>
        <v>583.333333333333</v>
      </c>
      <c r="D155" s="9" t="n">
        <f aca="false">B155*Inputs!$C$8</f>
        <v>583.333333333333</v>
      </c>
      <c r="E155" s="9" t="n">
        <v>0</v>
      </c>
      <c r="F155" s="9" t="n">
        <f aca="false">B155-E155</f>
        <v>100000</v>
      </c>
    </row>
    <row r="156" customFormat="false" ht="15" hidden="false" customHeight="false" outlineLevel="0" collapsed="false">
      <c r="A156" s="0" t="n">
        <v>155</v>
      </c>
      <c r="B156" s="9" t="n">
        <f aca="false">F155</f>
        <v>100000</v>
      </c>
      <c r="C156" s="9" t="n">
        <f aca="false">D156</f>
        <v>583.333333333333</v>
      </c>
      <c r="D156" s="9" t="n">
        <f aca="false">B156*Inputs!$C$8</f>
        <v>583.333333333333</v>
      </c>
      <c r="E156" s="9" t="n">
        <v>0</v>
      </c>
      <c r="F156" s="9" t="n">
        <f aca="false">B156-E156</f>
        <v>100000</v>
      </c>
    </row>
    <row r="157" customFormat="false" ht="15" hidden="false" customHeight="false" outlineLevel="0" collapsed="false">
      <c r="A157" s="0" t="n">
        <v>156</v>
      </c>
      <c r="B157" s="9" t="n">
        <f aca="false">F156</f>
        <v>100000</v>
      </c>
      <c r="C157" s="9" t="n">
        <f aca="false">D157</f>
        <v>583.333333333333</v>
      </c>
      <c r="D157" s="9" t="n">
        <f aca="false">B157*Inputs!$C$8</f>
        <v>583.333333333333</v>
      </c>
      <c r="E157" s="9" t="n">
        <v>0</v>
      </c>
      <c r="F157" s="9" t="n">
        <f aca="false">B157-E157</f>
        <v>100000</v>
      </c>
    </row>
    <row r="158" customFormat="false" ht="15" hidden="false" customHeight="false" outlineLevel="0" collapsed="false">
      <c r="A158" s="0" t="n">
        <v>157</v>
      </c>
      <c r="B158" s="9" t="n">
        <f aca="false">F157</f>
        <v>100000</v>
      </c>
      <c r="C158" s="9" t="n">
        <f aca="false">D158</f>
        <v>583.333333333333</v>
      </c>
      <c r="D158" s="9" t="n">
        <f aca="false">B158*Inputs!$C$8</f>
        <v>583.333333333333</v>
      </c>
      <c r="E158" s="9" t="n">
        <v>0</v>
      </c>
      <c r="F158" s="9" t="n">
        <f aca="false">B158-E158</f>
        <v>100000</v>
      </c>
    </row>
    <row r="159" customFormat="false" ht="15" hidden="false" customHeight="false" outlineLevel="0" collapsed="false">
      <c r="A159" s="0" t="n">
        <v>158</v>
      </c>
      <c r="B159" s="9" t="n">
        <f aca="false">F158</f>
        <v>100000</v>
      </c>
      <c r="C159" s="9" t="n">
        <f aca="false">D159</f>
        <v>583.333333333333</v>
      </c>
      <c r="D159" s="9" t="n">
        <f aca="false">B159*Inputs!$C$8</f>
        <v>583.333333333333</v>
      </c>
      <c r="E159" s="9" t="n">
        <v>0</v>
      </c>
      <c r="F159" s="9" t="n">
        <f aca="false">B159-E159</f>
        <v>100000</v>
      </c>
    </row>
    <row r="160" customFormat="false" ht="15" hidden="false" customHeight="false" outlineLevel="0" collapsed="false">
      <c r="A160" s="0" t="n">
        <v>159</v>
      </c>
      <c r="B160" s="9" t="n">
        <f aca="false">F159</f>
        <v>100000</v>
      </c>
      <c r="C160" s="9" t="n">
        <f aca="false">D160</f>
        <v>583.333333333333</v>
      </c>
      <c r="D160" s="9" t="n">
        <f aca="false">B160*Inputs!$C$8</f>
        <v>583.333333333333</v>
      </c>
      <c r="E160" s="9" t="n">
        <v>0</v>
      </c>
      <c r="F160" s="9" t="n">
        <f aca="false">B160-E160</f>
        <v>100000</v>
      </c>
    </row>
    <row r="161" customFormat="false" ht="15" hidden="false" customHeight="false" outlineLevel="0" collapsed="false">
      <c r="A161" s="0" t="n">
        <v>160</v>
      </c>
      <c r="B161" s="9" t="n">
        <f aca="false">F160</f>
        <v>100000</v>
      </c>
      <c r="C161" s="9" t="n">
        <f aca="false">D161</f>
        <v>583.333333333333</v>
      </c>
      <c r="D161" s="9" t="n">
        <f aca="false">B161*Inputs!$C$8</f>
        <v>583.333333333333</v>
      </c>
      <c r="E161" s="9" t="n">
        <v>0</v>
      </c>
      <c r="F161" s="9" t="n">
        <f aca="false">B161-E161</f>
        <v>100000</v>
      </c>
    </row>
    <row r="162" customFormat="false" ht="15" hidden="false" customHeight="false" outlineLevel="0" collapsed="false">
      <c r="A162" s="0" t="n">
        <v>161</v>
      </c>
      <c r="B162" s="9" t="n">
        <f aca="false">F161</f>
        <v>100000</v>
      </c>
      <c r="C162" s="9" t="n">
        <f aca="false">D162</f>
        <v>583.333333333333</v>
      </c>
      <c r="D162" s="9" t="n">
        <f aca="false">B162*Inputs!$C$8</f>
        <v>583.333333333333</v>
      </c>
      <c r="E162" s="9" t="n">
        <v>0</v>
      </c>
      <c r="F162" s="9" t="n">
        <f aca="false">B162-E162</f>
        <v>100000</v>
      </c>
    </row>
    <row r="163" customFormat="false" ht="15" hidden="false" customHeight="false" outlineLevel="0" collapsed="false">
      <c r="A163" s="0" t="n">
        <v>162</v>
      </c>
      <c r="B163" s="9" t="n">
        <f aca="false">F162</f>
        <v>100000</v>
      </c>
      <c r="C163" s="9" t="n">
        <f aca="false">D163</f>
        <v>583.333333333333</v>
      </c>
      <c r="D163" s="9" t="n">
        <f aca="false">B163*Inputs!$C$8</f>
        <v>583.333333333333</v>
      </c>
      <c r="E163" s="9" t="n">
        <v>0</v>
      </c>
      <c r="F163" s="9" t="n">
        <f aca="false">B163-E163</f>
        <v>100000</v>
      </c>
    </row>
    <row r="164" customFormat="false" ht="15" hidden="false" customHeight="false" outlineLevel="0" collapsed="false">
      <c r="A164" s="0" t="n">
        <v>163</v>
      </c>
      <c r="B164" s="9" t="n">
        <f aca="false">F163</f>
        <v>100000</v>
      </c>
      <c r="C164" s="9" t="n">
        <f aca="false">D164</f>
        <v>583.333333333333</v>
      </c>
      <c r="D164" s="9" t="n">
        <f aca="false">B164*Inputs!$C$8</f>
        <v>583.333333333333</v>
      </c>
      <c r="E164" s="9" t="n">
        <v>0</v>
      </c>
      <c r="F164" s="9" t="n">
        <f aca="false">B164-E164</f>
        <v>100000</v>
      </c>
    </row>
    <row r="165" customFormat="false" ht="15" hidden="false" customHeight="false" outlineLevel="0" collapsed="false">
      <c r="A165" s="0" t="n">
        <v>164</v>
      </c>
      <c r="B165" s="9" t="n">
        <f aca="false">F164</f>
        <v>100000</v>
      </c>
      <c r="C165" s="9" t="n">
        <f aca="false">D165</f>
        <v>583.333333333333</v>
      </c>
      <c r="D165" s="9" t="n">
        <f aca="false">B165*Inputs!$C$8</f>
        <v>583.333333333333</v>
      </c>
      <c r="E165" s="9" t="n">
        <v>0</v>
      </c>
      <c r="F165" s="9" t="n">
        <f aca="false">B165-E165</f>
        <v>100000</v>
      </c>
    </row>
    <row r="166" customFormat="false" ht="15" hidden="false" customHeight="false" outlineLevel="0" collapsed="false">
      <c r="A166" s="0" t="n">
        <v>165</v>
      </c>
      <c r="B166" s="9" t="n">
        <f aca="false">F165</f>
        <v>100000</v>
      </c>
      <c r="C166" s="9" t="n">
        <f aca="false">D166</f>
        <v>583.333333333333</v>
      </c>
      <c r="D166" s="9" t="n">
        <f aca="false">B166*Inputs!$C$8</f>
        <v>583.333333333333</v>
      </c>
      <c r="E166" s="9" t="n">
        <v>0</v>
      </c>
      <c r="F166" s="9" t="n">
        <f aca="false">B166-E166</f>
        <v>100000</v>
      </c>
    </row>
    <row r="167" customFormat="false" ht="15" hidden="false" customHeight="false" outlineLevel="0" collapsed="false">
      <c r="A167" s="0" t="n">
        <v>166</v>
      </c>
      <c r="B167" s="9" t="n">
        <f aca="false">F166</f>
        <v>100000</v>
      </c>
      <c r="C167" s="9" t="n">
        <f aca="false">D167</f>
        <v>583.333333333333</v>
      </c>
      <c r="D167" s="9" t="n">
        <f aca="false">B167*Inputs!$C$8</f>
        <v>583.333333333333</v>
      </c>
      <c r="E167" s="9" t="n">
        <v>0</v>
      </c>
      <c r="F167" s="9" t="n">
        <f aca="false">B167-E167</f>
        <v>100000</v>
      </c>
    </row>
    <row r="168" customFormat="false" ht="15" hidden="false" customHeight="false" outlineLevel="0" collapsed="false">
      <c r="A168" s="0" t="n">
        <v>167</v>
      </c>
      <c r="B168" s="9" t="n">
        <f aca="false">F167</f>
        <v>100000</v>
      </c>
      <c r="C168" s="9" t="n">
        <f aca="false">D168</f>
        <v>583.333333333333</v>
      </c>
      <c r="D168" s="9" t="n">
        <f aca="false">B168*Inputs!$C$8</f>
        <v>583.333333333333</v>
      </c>
      <c r="E168" s="9" t="n">
        <v>0</v>
      </c>
      <c r="F168" s="9" t="n">
        <f aca="false">B168-E168</f>
        <v>100000</v>
      </c>
    </row>
    <row r="169" customFormat="false" ht="15" hidden="false" customHeight="false" outlineLevel="0" collapsed="false">
      <c r="A169" s="0" t="n">
        <v>168</v>
      </c>
      <c r="B169" s="9" t="n">
        <f aca="false">F168</f>
        <v>100000</v>
      </c>
      <c r="C169" s="9" t="n">
        <f aca="false">D169</f>
        <v>583.333333333333</v>
      </c>
      <c r="D169" s="9" t="n">
        <f aca="false">B169*Inputs!$C$8</f>
        <v>583.333333333333</v>
      </c>
      <c r="E169" s="9" t="n">
        <v>0</v>
      </c>
      <c r="F169" s="9" t="n">
        <f aca="false">B169-E169</f>
        <v>100000</v>
      </c>
    </row>
    <row r="170" customFormat="false" ht="15" hidden="false" customHeight="false" outlineLevel="0" collapsed="false">
      <c r="A170" s="0" t="n">
        <v>169</v>
      </c>
      <c r="B170" s="9" t="n">
        <f aca="false">F169</f>
        <v>100000</v>
      </c>
      <c r="C170" s="9" t="n">
        <f aca="false">D170</f>
        <v>583.333333333333</v>
      </c>
      <c r="D170" s="9" t="n">
        <f aca="false">B170*Inputs!$C$8</f>
        <v>583.333333333333</v>
      </c>
      <c r="E170" s="9" t="n">
        <v>0</v>
      </c>
      <c r="F170" s="9" t="n">
        <f aca="false">B170-E170</f>
        <v>100000</v>
      </c>
    </row>
    <row r="171" customFormat="false" ht="15" hidden="false" customHeight="false" outlineLevel="0" collapsed="false">
      <c r="A171" s="0" t="n">
        <v>170</v>
      </c>
      <c r="B171" s="9" t="n">
        <f aca="false">F170</f>
        <v>100000</v>
      </c>
      <c r="C171" s="9" t="n">
        <f aca="false">D171</f>
        <v>583.333333333333</v>
      </c>
      <c r="D171" s="9" t="n">
        <f aca="false">B171*Inputs!$C$8</f>
        <v>583.333333333333</v>
      </c>
      <c r="E171" s="9" t="n">
        <v>0</v>
      </c>
      <c r="F171" s="9" t="n">
        <f aca="false">B171-E171</f>
        <v>100000</v>
      </c>
    </row>
    <row r="172" customFormat="false" ht="15" hidden="false" customHeight="false" outlineLevel="0" collapsed="false">
      <c r="A172" s="0" t="n">
        <v>171</v>
      </c>
      <c r="B172" s="9" t="n">
        <f aca="false">F171</f>
        <v>100000</v>
      </c>
      <c r="C172" s="9" t="n">
        <f aca="false">D172</f>
        <v>583.333333333333</v>
      </c>
      <c r="D172" s="9" t="n">
        <f aca="false">B172*Inputs!$C$8</f>
        <v>583.333333333333</v>
      </c>
      <c r="E172" s="9" t="n">
        <v>0</v>
      </c>
      <c r="F172" s="9" t="n">
        <f aca="false">B172-E172</f>
        <v>100000</v>
      </c>
    </row>
    <row r="173" customFormat="false" ht="15" hidden="false" customHeight="false" outlineLevel="0" collapsed="false">
      <c r="A173" s="0" t="n">
        <v>172</v>
      </c>
      <c r="B173" s="9" t="n">
        <f aca="false">F172</f>
        <v>100000</v>
      </c>
      <c r="C173" s="9" t="n">
        <f aca="false">D173</f>
        <v>583.333333333333</v>
      </c>
      <c r="D173" s="9" t="n">
        <f aca="false">B173*Inputs!$C$8</f>
        <v>583.333333333333</v>
      </c>
      <c r="E173" s="9" t="n">
        <v>0</v>
      </c>
      <c r="F173" s="9" t="n">
        <f aca="false">B173-E173</f>
        <v>100000</v>
      </c>
    </row>
    <row r="174" customFormat="false" ht="15" hidden="false" customHeight="false" outlineLevel="0" collapsed="false">
      <c r="A174" s="0" t="n">
        <v>173</v>
      </c>
      <c r="B174" s="9" t="n">
        <f aca="false">F173</f>
        <v>100000</v>
      </c>
      <c r="C174" s="9" t="n">
        <f aca="false">D174</f>
        <v>583.333333333333</v>
      </c>
      <c r="D174" s="9" t="n">
        <f aca="false">B174*Inputs!$C$8</f>
        <v>583.333333333333</v>
      </c>
      <c r="E174" s="9" t="n">
        <v>0</v>
      </c>
      <c r="F174" s="9" t="n">
        <f aca="false">B174-E174</f>
        <v>100000</v>
      </c>
    </row>
    <row r="175" customFormat="false" ht="15" hidden="false" customHeight="false" outlineLevel="0" collapsed="false">
      <c r="A175" s="0" t="n">
        <v>174</v>
      </c>
      <c r="B175" s="9" t="n">
        <f aca="false">F174</f>
        <v>100000</v>
      </c>
      <c r="C175" s="9" t="n">
        <f aca="false">D175</f>
        <v>583.333333333333</v>
      </c>
      <c r="D175" s="9" t="n">
        <f aca="false">B175*Inputs!$C$8</f>
        <v>583.333333333333</v>
      </c>
      <c r="E175" s="9" t="n">
        <v>0</v>
      </c>
      <c r="F175" s="9" t="n">
        <f aca="false">B175-E175</f>
        <v>100000</v>
      </c>
    </row>
    <row r="176" customFormat="false" ht="15" hidden="false" customHeight="false" outlineLevel="0" collapsed="false">
      <c r="A176" s="0" t="n">
        <v>175</v>
      </c>
      <c r="B176" s="9" t="n">
        <f aca="false">F175</f>
        <v>100000</v>
      </c>
      <c r="C176" s="9" t="n">
        <f aca="false">D176</f>
        <v>583.333333333333</v>
      </c>
      <c r="D176" s="9" t="n">
        <f aca="false">B176*Inputs!$C$8</f>
        <v>583.333333333333</v>
      </c>
      <c r="E176" s="9" t="n">
        <v>0</v>
      </c>
      <c r="F176" s="9" t="n">
        <f aca="false">B176-E176</f>
        <v>100000</v>
      </c>
    </row>
    <row r="177" customFormat="false" ht="15" hidden="false" customHeight="false" outlineLevel="0" collapsed="false">
      <c r="A177" s="0" t="n">
        <v>176</v>
      </c>
      <c r="B177" s="9" t="n">
        <f aca="false">F176</f>
        <v>100000</v>
      </c>
      <c r="C177" s="9" t="n">
        <f aca="false">D177</f>
        <v>583.333333333333</v>
      </c>
      <c r="D177" s="9" t="n">
        <f aca="false">B177*Inputs!$C$8</f>
        <v>583.333333333333</v>
      </c>
      <c r="E177" s="9" t="n">
        <v>0</v>
      </c>
      <c r="F177" s="9" t="n">
        <f aca="false">B177-E177</f>
        <v>100000</v>
      </c>
    </row>
    <row r="178" customFormat="false" ht="15" hidden="false" customHeight="false" outlineLevel="0" collapsed="false">
      <c r="A178" s="0" t="n">
        <v>177</v>
      </c>
      <c r="B178" s="9" t="n">
        <f aca="false">F177</f>
        <v>100000</v>
      </c>
      <c r="C178" s="9" t="n">
        <f aca="false">D178</f>
        <v>583.333333333333</v>
      </c>
      <c r="D178" s="9" t="n">
        <f aca="false">B178*Inputs!$C$8</f>
        <v>583.333333333333</v>
      </c>
      <c r="E178" s="9" t="n">
        <v>0</v>
      </c>
      <c r="F178" s="9" t="n">
        <f aca="false">B178-E178</f>
        <v>100000</v>
      </c>
    </row>
    <row r="179" customFormat="false" ht="15" hidden="false" customHeight="false" outlineLevel="0" collapsed="false">
      <c r="A179" s="0" t="n">
        <v>178</v>
      </c>
      <c r="B179" s="9" t="n">
        <f aca="false">F178</f>
        <v>100000</v>
      </c>
      <c r="C179" s="9" t="n">
        <f aca="false">D179</f>
        <v>583.333333333333</v>
      </c>
      <c r="D179" s="9" t="n">
        <f aca="false">B179*Inputs!$C$8</f>
        <v>583.333333333333</v>
      </c>
      <c r="E179" s="9" t="n">
        <v>0</v>
      </c>
      <c r="F179" s="9" t="n">
        <f aca="false">B179-E179</f>
        <v>100000</v>
      </c>
    </row>
    <row r="180" customFormat="false" ht="15" hidden="false" customHeight="false" outlineLevel="0" collapsed="false">
      <c r="A180" s="0" t="n">
        <v>179</v>
      </c>
      <c r="B180" s="9" t="n">
        <f aca="false">F179</f>
        <v>100000</v>
      </c>
      <c r="C180" s="9" t="n">
        <f aca="false">D180</f>
        <v>583.333333333333</v>
      </c>
      <c r="D180" s="9" t="n">
        <f aca="false">B180*Inputs!$C$8</f>
        <v>583.333333333333</v>
      </c>
      <c r="E180" s="9" t="n">
        <v>0</v>
      </c>
      <c r="F180" s="9" t="n">
        <f aca="false">B180-E180</f>
        <v>100000</v>
      </c>
    </row>
    <row r="181" customFormat="false" ht="15" hidden="false" customHeight="false" outlineLevel="0" collapsed="false">
      <c r="A181" s="0" t="n">
        <v>180</v>
      </c>
      <c r="B181" s="9" t="n">
        <f aca="false">F180</f>
        <v>100000</v>
      </c>
      <c r="C181" s="9" t="n">
        <f aca="false">D181</f>
        <v>583.333333333333</v>
      </c>
      <c r="D181" s="9" t="n">
        <f aca="false">B181*Inputs!$C$8</f>
        <v>583.333333333333</v>
      </c>
      <c r="E181" s="9" t="n">
        <v>0</v>
      </c>
      <c r="F181" s="9" t="n">
        <f aca="false">B181-E181</f>
        <v>100000</v>
      </c>
    </row>
    <row r="182" customFormat="false" ht="15" hidden="false" customHeight="false" outlineLevel="0" collapsed="false">
      <c r="A182" s="0" t="n">
        <v>181</v>
      </c>
      <c r="B182" s="9" t="n">
        <f aca="false">F181</f>
        <v>100000</v>
      </c>
      <c r="C182" s="9" t="n">
        <f aca="false">D182</f>
        <v>583.333333333333</v>
      </c>
      <c r="D182" s="9" t="n">
        <f aca="false">B182*Inputs!$C$8</f>
        <v>583.333333333333</v>
      </c>
      <c r="E182" s="9" t="n">
        <v>0</v>
      </c>
      <c r="F182" s="9" t="n">
        <f aca="false">B182-E182</f>
        <v>100000</v>
      </c>
    </row>
    <row r="183" customFormat="false" ht="15" hidden="false" customHeight="false" outlineLevel="0" collapsed="false">
      <c r="A183" s="0" t="n">
        <v>182</v>
      </c>
      <c r="B183" s="9" t="n">
        <f aca="false">F182</f>
        <v>100000</v>
      </c>
      <c r="C183" s="9" t="n">
        <f aca="false">D183</f>
        <v>583.333333333333</v>
      </c>
      <c r="D183" s="9" t="n">
        <f aca="false">B183*Inputs!$C$8</f>
        <v>583.333333333333</v>
      </c>
      <c r="E183" s="9" t="n">
        <v>0</v>
      </c>
      <c r="F183" s="9" t="n">
        <f aca="false">B183-E183</f>
        <v>100000</v>
      </c>
    </row>
    <row r="184" customFormat="false" ht="15" hidden="false" customHeight="false" outlineLevel="0" collapsed="false">
      <c r="A184" s="0" t="n">
        <v>183</v>
      </c>
      <c r="B184" s="9" t="n">
        <f aca="false">F183</f>
        <v>100000</v>
      </c>
      <c r="C184" s="9" t="n">
        <f aca="false">D184</f>
        <v>583.333333333333</v>
      </c>
      <c r="D184" s="9" t="n">
        <f aca="false">B184*Inputs!$C$8</f>
        <v>583.333333333333</v>
      </c>
      <c r="E184" s="9" t="n">
        <v>0</v>
      </c>
      <c r="F184" s="9" t="n">
        <f aca="false">B184-E184</f>
        <v>100000</v>
      </c>
    </row>
    <row r="185" customFormat="false" ht="15" hidden="false" customHeight="false" outlineLevel="0" collapsed="false">
      <c r="A185" s="0" t="n">
        <v>184</v>
      </c>
      <c r="B185" s="9" t="n">
        <f aca="false">F184</f>
        <v>100000</v>
      </c>
      <c r="C185" s="9" t="n">
        <f aca="false">D185</f>
        <v>583.333333333333</v>
      </c>
      <c r="D185" s="9" t="n">
        <f aca="false">B185*Inputs!$C$8</f>
        <v>583.333333333333</v>
      </c>
      <c r="E185" s="9" t="n">
        <v>0</v>
      </c>
      <c r="F185" s="9" t="n">
        <f aca="false">B185-E185</f>
        <v>100000</v>
      </c>
    </row>
    <row r="186" customFormat="false" ht="15" hidden="false" customHeight="false" outlineLevel="0" collapsed="false">
      <c r="A186" s="0" t="n">
        <v>185</v>
      </c>
      <c r="B186" s="9" t="n">
        <f aca="false">F185</f>
        <v>100000</v>
      </c>
      <c r="C186" s="9" t="n">
        <f aca="false">D186</f>
        <v>583.333333333333</v>
      </c>
      <c r="D186" s="9" t="n">
        <f aca="false">B186*Inputs!$C$8</f>
        <v>583.333333333333</v>
      </c>
      <c r="E186" s="9" t="n">
        <v>0</v>
      </c>
      <c r="F186" s="9" t="n">
        <f aca="false">B186-E186</f>
        <v>100000</v>
      </c>
    </row>
    <row r="187" customFormat="false" ht="15" hidden="false" customHeight="false" outlineLevel="0" collapsed="false">
      <c r="A187" s="0" t="n">
        <v>186</v>
      </c>
      <c r="B187" s="9" t="n">
        <f aca="false">F186</f>
        <v>100000</v>
      </c>
      <c r="C187" s="9" t="n">
        <f aca="false">D187</f>
        <v>583.333333333333</v>
      </c>
      <c r="D187" s="9" t="n">
        <f aca="false">B187*Inputs!$C$8</f>
        <v>583.333333333333</v>
      </c>
      <c r="E187" s="9" t="n">
        <v>0</v>
      </c>
      <c r="F187" s="9" t="n">
        <f aca="false">B187-E187</f>
        <v>100000</v>
      </c>
    </row>
    <row r="188" customFormat="false" ht="15" hidden="false" customHeight="false" outlineLevel="0" collapsed="false">
      <c r="A188" s="0" t="n">
        <v>187</v>
      </c>
      <c r="B188" s="9" t="n">
        <f aca="false">F187</f>
        <v>100000</v>
      </c>
      <c r="C188" s="9" t="n">
        <f aca="false">D188</f>
        <v>583.333333333333</v>
      </c>
      <c r="D188" s="9" t="n">
        <f aca="false">B188*Inputs!$C$8</f>
        <v>583.333333333333</v>
      </c>
      <c r="E188" s="9" t="n">
        <v>0</v>
      </c>
      <c r="F188" s="9" t="n">
        <f aca="false">B188-E188</f>
        <v>100000</v>
      </c>
    </row>
    <row r="189" customFormat="false" ht="15" hidden="false" customHeight="false" outlineLevel="0" collapsed="false">
      <c r="A189" s="0" t="n">
        <v>188</v>
      </c>
      <c r="B189" s="9" t="n">
        <f aca="false">F188</f>
        <v>100000</v>
      </c>
      <c r="C189" s="9" t="n">
        <f aca="false">D189</f>
        <v>583.333333333333</v>
      </c>
      <c r="D189" s="9" t="n">
        <f aca="false">B189*Inputs!$C$8</f>
        <v>583.333333333333</v>
      </c>
      <c r="E189" s="9" t="n">
        <v>0</v>
      </c>
      <c r="F189" s="9" t="n">
        <f aca="false">B189-E189</f>
        <v>100000</v>
      </c>
    </row>
    <row r="190" customFormat="false" ht="15" hidden="false" customHeight="false" outlineLevel="0" collapsed="false">
      <c r="A190" s="0" t="n">
        <v>189</v>
      </c>
      <c r="B190" s="9" t="n">
        <f aca="false">F189</f>
        <v>100000</v>
      </c>
      <c r="C190" s="9" t="n">
        <f aca="false">D190</f>
        <v>583.333333333333</v>
      </c>
      <c r="D190" s="9" t="n">
        <f aca="false">B190*Inputs!$C$8</f>
        <v>583.333333333333</v>
      </c>
      <c r="E190" s="9" t="n">
        <v>0</v>
      </c>
      <c r="F190" s="9" t="n">
        <f aca="false">B190-E190</f>
        <v>100000</v>
      </c>
    </row>
    <row r="191" customFormat="false" ht="15" hidden="false" customHeight="false" outlineLevel="0" collapsed="false">
      <c r="A191" s="0" t="n">
        <v>190</v>
      </c>
      <c r="B191" s="9" t="n">
        <f aca="false">F190</f>
        <v>100000</v>
      </c>
      <c r="C191" s="9" t="n">
        <f aca="false">D191</f>
        <v>583.333333333333</v>
      </c>
      <c r="D191" s="9" t="n">
        <f aca="false">B191*Inputs!$C$8</f>
        <v>583.333333333333</v>
      </c>
      <c r="E191" s="9" t="n">
        <v>0</v>
      </c>
      <c r="F191" s="9" t="n">
        <f aca="false">B191-E191</f>
        <v>100000</v>
      </c>
    </row>
    <row r="192" customFormat="false" ht="15" hidden="false" customHeight="false" outlineLevel="0" collapsed="false">
      <c r="A192" s="0" t="n">
        <v>191</v>
      </c>
      <c r="B192" s="9" t="n">
        <f aca="false">F191</f>
        <v>100000</v>
      </c>
      <c r="C192" s="9" t="n">
        <f aca="false">D192</f>
        <v>583.333333333333</v>
      </c>
      <c r="D192" s="9" t="n">
        <f aca="false">B192*Inputs!$C$8</f>
        <v>583.333333333333</v>
      </c>
      <c r="E192" s="9" t="n">
        <v>0</v>
      </c>
      <c r="F192" s="9" t="n">
        <f aca="false">B192-E192</f>
        <v>100000</v>
      </c>
    </row>
    <row r="193" customFormat="false" ht="15" hidden="false" customHeight="false" outlineLevel="0" collapsed="false">
      <c r="A193" s="0" t="n">
        <v>192</v>
      </c>
      <c r="B193" s="9" t="n">
        <f aca="false">F192</f>
        <v>100000</v>
      </c>
      <c r="C193" s="9" t="n">
        <f aca="false">D193</f>
        <v>583.333333333333</v>
      </c>
      <c r="D193" s="9" t="n">
        <f aca="false">B193*Inputs!$C$8</f>
        <v>583.333333333333</v>
      </c>
      <c r="E193" s="9" t="n">
        <v>0</v>
      </c>
      <c r="F193" s="9" t="n">
        <f aca="false">B193-E193</f>
        <v>100000</v>
      </c>
    </row>
    <row r="194" customFormat="false" ht="15" hidden="false" customHeight="false" outlineLevel="0" collapsed="false">
      <c r="A194" s="0" t="n">
        <v>193</v>
      </c>
      <c r="B194" s="9" t="n">
        <f aca="false">F193</f>
        <v>100000</v>
      </c>
      <c r="C194" s="9" t="n">
        <f aca="false">D194</f>
        <v>583.333333333333</v>
      </c>
      <c r="D194" s="9" t="n">
        <f aca="false">B194*Inputs!$C$8</f>
        <v>583.333333333333</v>
      </c>
      <c r="E194" s="9" t="n">
        <v>0</v>
      </c>
      <c r="F194" s="9" t="n">
        <f aca="false">B194-E194</f>
        <v>100000</v>
      </c>
    </row>
    <row r="195" customFormat="false" ht="15" hidden="false" customHeight="false" outlineLevel="0" collapsed="false">
      <c r="A195" s="0" t="n">
        <v>194</v>
      </c>
      <c r="B195" s="9" t="n">
        <f aca="false">F194</f>
        <v>100000</v>
      </c>
      <c r="C195" s="9" t="n">
        <f aca="false">D195</f>
        <v>583.333333333333</v>
      </c>
      <c r="D195" s="9" t="n">
        <f aca="false">B195*Inputs!$C$8</f>
        <v>583.333333333333</v>
      </c>
      <c r="E195" s="9" t="n">
        <v>0</v>
      </c>
      <c r="F195" s="9" t="n">
        <f aca="false">B195-E195</f>
        <v>100000</v>
      </c>
    </row>
    <row r="196" customFormat="false" ht="15" hidden="false" customHeight="false" outlineLevel="0" collapsed="false">
      <c r="A196" s="0" t="n">
        <v>195</v>
      </c>
      <c r="B196" s="9" t="n">
        <f aca="false">F195</f>
        <v>100000</v>
      </c>
      <c r="C196" s="9" t="n">
        <f aca="false">D196</f>
        <v>583.333333333333</v>
      </c>
      <c r="D196" s="9" t="n">
        <f aca="false">B196*Inputs!$C$8</f>
        <v>583.333333333333</v>
      </c>
      <c r="E196" s="9" t="n">
        <v>0</v>
      </c>
      <c r="F196" s="9" t="n">
        <f aca="false">B196-E196</f>
        <v>100000</v>
      </c>
    </row>
    <row r="197" customFormat="false" ht="15" hidden="false" customHeight="false" outlineLevel="0" collapsed="false">
      <c r="A197" s="0" t="n">
        <v>196</v>
      </c>
      <c r="B197" s="9" t="n">
        <f aca="false">F196</f>
        <v>100000</v>
      </c>
      <c r="C197" s="9" t="n">
        <f aca="false">D197</f>
        <v>583.333333333333</v>
      </c>
      <c r="D197" s="9" t="n">
        <f aca="false">B197*Inputs!$C$8</f>
        <v>583.333333333333</v>
      </c>
      <c r="E197" s="9" t="n">
        <v>0</v>
      </c>
      <c r="F197" s="9" t="n">
        <f aca="false">B197-E197</f>
        <v>100000</v>
      </c>
    </row>
    <row r="198" customFormat="false" ht="15" hidden="false" customHeight="false" outlineLevel="0" collapsed="false">
      <c r="A198" s="0" t="n">
        <v>197</v>
      </c>
      <c r="B198" s="9" t="n">
        <f aca="false">F197</f>
        <v>100000</v>
      </c>
      <c r="C198" s="9" t="n">
        <f aca="false">D198</f>
        <v>583.333333333333</v>
      </c>
      <c r="D198" s="9" t="n">
        <f aca="false">B198*Inputs!$C$8</f>
        <v>583.333333333333</v>
      </c>
      <c r="E198" s="9" t="n">
        <v>0</v>
      </c>
      <c r="F198" s="9" t="n">
        <f aca="false">B198-E198</f>
        <v>100000</v>
      </c>
    </row>
    <row r="199" customFormat="false" ht="15" hidden="false" customHeight="false" outlineLevel="0" collapsed="false">
      <c r="A199" s="0" t="n">
        <v>198</v>
      </c>
      <c r="B199" s="9" t="n">
        <f aca="false">F198</f>
        <v>100000</v>
      </c>
      <c r="C199" s="9" t="n">
        <f aca="false">D199</f>
        <v>583.333333333333</v>
      </c>
      <c r="D199" s="9" t="n">
        <f aca="false">B199*Inputs!$C$8</f>
        <v>583.333333333333</v>
      </c>
      <c r="E199" s="9" t="n">
        <v>0</v>
      </c>
      <c r="F199" s="9" t="n">
        <f aca="false">B199-E199</f>
        <v>100000</v>
      </c>
    </row>
    <row r="200" customFormat="false" ht="15" hidden="false" customHeight="false" outlineLevel="0" collapsed="false">
      <c r="A200" s="0" t="n">
        <v>199</v>
      </c>
      <c r="B200" s="9" t="n">
        <f aca="false">F199</f>
        <v>100000</v>
      </c>
      <c r="C200" s="9" t="n">
        <f aca="false">D200</f>
        <v>583.333333333333</v>
      </c>
      <c r="D200" s="9" t="n">
        <f aca="false">B200*Inputs!$C$8</f>
        <v>583.333333333333</v>
      </c>
      <c r="E200" s="9" t="n">
        <v>0</v>
      </c>
      <c r="F200" s="9" t="n">
        <f aca="false">B200-E200</f>
        <v>100000</v>
      </c>
    </row>
    <row r="201" customFormat="false" ht="15" hidden="false" customHeight="false" outlineLevel="0" collapsed="false">
      <c r="A201" s="0" t="n">
        <v>200</v>
      </c>
      <c r="B201" s="9" t="n">
        <f aca="false">F200</f>
        <v>100000</v>
      </c>
      <c r="C201" s="9" t="n">
        <f aca="false">D201</f>
        <v>583.333333333333</v>
      </c>
      <c r="D201" s="9" t="n">
        <f aca="false">B201*Inputs!$C$8</f>
        <v>583.333333333333</v>
      </c>
      <c r="E201" s="9" t="n">
        <v>0</v>
      </c>
      <c r="F201" s="9" t="n">
        <f aca="false">B201-E201</f>
        <v>100000</v>
      </c>
    </row>
    <row r="202" customFormat="false" ht="15" hidden="false" customHeight="false" outlineLevel="0" collapsed="false">
      <c r="A202" s="0" t="n">
        <v>201</v>
      </c>
      <c r="B202" s="9" t="n">
        <f aca="false">F201</f>
        <v>100000</v>
      </c>
      <c r="C202" s="9" t="n">
        <f aca="false">D202</f>
        <v>583.333333333333</v>
      </c>
      <c r="D202" s="9" t="n">
        <f aca="false">B202*Inputs!$C$8</f>
        <v>583.333333333333</v>
      </c>
      <c r="E202" s="9" t="n">
        <v>0</v>
      </c>
      <c r="F202" s="9" t="n">
        <f aca="false">B202-E202</f>
        <v>100000</v>
      </c>
    </row>
    <row r="203" customFormat="false" ht="15" hidden="false" customHeight="false" outlineLevel="0" collapsed="false">
      <c r="A203" s="0" t="n">
        <v>202</v>
      </c>
      <c r="B203" s="9" t="n">
        <f aca="false">F202</f>
        <v>100000</v>
      </c>
      <c r="C203" s="9" t="n">
        <f aca="false">D203</f>
        <v>583.333333333333</v>
      </c>
      <c r="D203" s="9" t="n">
        <f aca="false">B203*Inputs!$C$8</f>
        <v>583.333333333333</v>
      </c>
      <c r="E203" s="9" t="n">
        <v>0</v>
      </c>
      <c r="F203" s="9" t="n">
        <f aca="false">B203-E203</f>
        <v>100000</v>
      </c>
    </row>
    <row r="204" customFormat="false" ht="15" hidden="false" customHeight="false" outlineLevel="0" collapsed="false">
      <c r="A204" s="0" t="n">
        <v>203</v>
      </c>
      <c r="B204" s="9" t="n">
        <f aca="false">F203</f>
        <v>100000</v>
      </c>
      <c r="C204" s="9" t="n">
        <f aca="false">D204</f>
        <v>583.333333333333</v>
      </c>
      <c r="D204" s="9" t="n">
        <f aca="false">B204*Inputs!$C$8</f>
        <v>583.333333333333</v>
      </c>
      <c r="E204" s="9" t="n">
        <v>0</v>
      </c>
      <c r="F204" s="9" t="n">
        <f aca="false">B204-E204</f>
        <v>100000</v>
      </c>
    </row>
    <row r="205" customFormat="false" ht="15" hidden="false" customHeight="false" outlineLevel="0" collapsed="false">
      <c r="A205" s="0" t="n">
        <v>204</v>
      </c>
      <c r="B205" s="9" t="n">
        <f aca="false">F204</f>
        <v>100000</v>
      </c>
      <c r="C205" s="9" t="n">
        <f aca="false">D205</f>
        <v>583.333333333333</v>
      </c>
      <c r="D205" s="9" t="n">
        <f aca="false">B205*Inputs!$C$8</f>
        <v>583.333333333333</v>
      </c>
      <c r="E205" s="9" t="n">
        <v>0</v>
      </c>
      <c r="F205" s="9" t="n">
        <f aca="false">B205-E205</f>
        <v>100000</v>
      </c>
    </row>
    <row r="206" customFormat="false" ht="15" hidden="false" customHeight="false" outlineLevel="0" collapsed="false">
      <c r="A206" s="0" t="n">
        <v>205</v>
      </c>
      <c r="B206" s="9" t="n">
        <f aca="false">F205</f>
        <v>100000</v>
      </c>
      <c r="C206" s="9" t="n">
        <f aca="false">D206</f>
        <v>583.333333333333</v>
      </c>
      <c r="D206" s="9" t="n">
        <f aca="false">B206*Inputs!$C$8</f>
        <v>583.333333333333</v>
      </c>
      <c r="E206" s="9" t="n">
        <v>0</v>
      </c>
      <c r="F206" s="9" t="n">
        <f aca="false">B206-E206</f>
        <v>100000</v>
      </c>
    </row>
    <row r="207" customFormat="false" ht="15" hidden="false" customHeight="false" outlineLevel="0" collapsed="false">
      <c r="A207" s="0" t="n">
        <v>206</v>
      </c>
      <c r="B207" s="9" t="n">
        <f aca="false">F206</f>
        <v>100000</v>
      </c>
      <c r="C207" s="9" t="n">
        <f aca="false">D207</f>
        <v>583.333333333333</v>
      </c>
      <c r="D207" s="9" t="n">
        <f aca="false">B207*Inputs!$C$8</f>
        <v>583.333333333333</v>
      </c>
      <c r="E207" s="9" t="n">
        <v>0</v>
      </c>
      <c r="F207" s="9" t="n">
        <f aca="false">B207-E207</f>
        <v>100000</v>
      </c>
    </row>
    <row r="208" customFormat="false" ht="15" hidden="false" customHeight="false" outlineLevel="0" collapsed="false">
      <c r="A208" s="0" t="n">
        <v>207</v>
      </c>
      <c r="B208" s="9" t="n">
        <f aca="false">F207</f>
        <v>100000</v>
      </c>
      <c r="C208" s="9" t="n">
        <f aca="false">D208</f>
        <v>583.333333333333</v>
      </c>
      <c r="D208" s="9" t="n">
        <f aca="false">B208*Inputs!$C$8</f>
        <v>583.333333333333</v>
      </c>
      <c r="E208" s="9" t="n">
        <v>0</v>
      </c>
      <c r="F208" s="9" t="n">
        <f aca="false">B208-E208</f>
        <v>100000</v>
      </c>
    </row>
    <row r="209" customFormat="false" ht="15" hidden="false" customHeight="false" outlineLevel="0" collapsed="false">
      <c r="A209" s="0" t="n">
        <v>208</v>
      </c>
      <c r="B209" s="9" t="n">
        <f aca="false">F208</f>
        <v>100000</v>
      </c>
      <c r="C209" s="9" t="n">
        <f aca="false">D209</f>
        <v>583.333333333333</v>
      </c>
      <c r="D209" s="9" t="n">
        <f aca="false">B209*Inputs!$C$8</f>
        <v>583.333333333333</v>
      </c>
      <c r="E209" s="9" t="n">
        <v>0</v>
      </c>
      <c r="F209" s="9" t="n">
        <f aca="false">B209-E209</f>
        <v>100000</v>
      </c>
    </row>
    <row r="210" customFormat="false" ht="15" hidden="false" customHeight="false" outlineLevel="0" collapsed="false">
      <c r="A210" s="0" t="n">
        <v>209</v>
      </c>
      <c r="B210" s="9" t="n">
        <f aca="false">F209</f>
        <v>100000</v>
      </c>
      <c r="C210" s="9" t="n">
        <f aca="false">D210</f>
        <v>583.333333333333</v>
      </c>
      <c r="D210" s="9" t="n">
        <f aca="false">B210*Inputs!$C$8</f>
        <v>583.333333333333</v>
      </c>
      <c r="E210" s="9" t="n">
        <v>0</v>
      </c>
      <c r="F210" s="9" t="n">
        <f aca="false">B210-E210</f>
        <v>100000</v>
      </c>
    </row>
    <row r="211" customFormat="false" ht="15" hidden="false" customHeight="false" outlineLevel="0" collapsed="false">
      <c r="A211" s="0" t="n">
        <v>210</v>
      </c>
      <c r="B211" s="9" t="n">
        <f aca="false">F210</f>
        <v>100000</v>
      </c>
      <c r="C211" s="9" t="n">
        <f aca="false">D211</f>
        <v>583.333333333333</v>
      </c>
      <c r="D211" s="9" t="n">
        <f aca="false">B211*Inputs!$C$8</f>
        <v>583.333333333333</v>
      </c>
      <c r="E211" s="9" t="n">
        <v>0</v>
      </c>
      <c r="F211" s="9" t="n">
        <f aca="false">B211-E211</f>
        <v>100000</v>
      </c>
    </row>
    <row r="212" customFormat="false" ht="15" hidden="false" customHeight="false" outlineLevel="0" collapsed="false">
      <c r="A212" s="0" t="n">
        <v>211</v>
      </c>
      <c r="B212" s="9" t="n">
        <f aca="false">F211</f>
        <v>100000</v>
      </c>
      <c r="C212" s="9" t="n">
        <f aca="false">D212</f>
        <v>583.333333333333</v>
      </c>
      <c r="D212" s="9" t="n">
        <f aca="false">B212*Inputs!$C$8</f>
        <v>583.333333333333</v>
      </c>
      <c r="E212" s="9" t="n">
        <v>0</v>
      </c>
      <c r="F212" s="9" t="n">
        <f aca="false">B212-E212</f>
        <v>100000</v>
      </c>
    </row>
    <row r="213" customFormat="false" ht="15" hidden="false" customHeight="false" outlineLevel="0" collapsed="false">
      <c r="A213" s="0" t="n">
        <v>212</v>
      </c>
      <c r="B213" s="9" t="n">
        <f aca="false">F212</f>
        <v>100000</v>
      </c>
      <c r="C213" s="9" t="n">
        <f aca="false">D213</f>
        <v>583.333333333333</v>
      </c>
      <c r="D213" s="9" t="n">
        <f aca="false">B213*Inputs!$C$8</f>
        <v>583.333333333333</v>
      </c>
      <c r="E213" s="9" t="n">
        <v>0</v>
      </c>
      <c r="F213" s="9" t="n">
        <f aca="false">B213-E213</f>
        <v>100000</v>
      </c>
    </row>
    <row r="214" customFormat="false" ht="15" hidden="false" customHeight="false" outlineLevel="0" collapsed="false">
      <c r="A214" s="0" t="n">
        <v>213</v>
      </c>
      <c r="B214" s="9" t="n">
        <f aca="false">F213</f>
        <v>100000</v>
      </c>
      <c r="C214" s="9" t="n">
        <f aca="false">D214</f>
        <v>583.333333333333</v>
      </c>
      <c r="D214" s="9" t="n">
        <f aca="false">B214*Inputs!$C$8</f>
        <v>583.333333333333</v>
      </c>
      <c r="E214" s="9" t="n">
        <v>0</v>
      </c>
      <c r="F214" s="9" t="n">
        <f aca="false">B214-E214</f>
        <v>100000</v>
      </c>
    </row>
    <row r="215" customFormat="false" ht="15" hidden="false" customHeight="false" outlineLevel="0" collapsed="false">
      <c r="A215" s="0" t="n">
        <v>214</v>
      </c>
      <c r="B215" s="9" t="n">
        <f aca="false">F214</f>
        <v>100000</v>
      </c>
      <c r="C215" s="9" t="n">
        <f aca="false">D215</f>
        <v>583.333333333333</v>
      </c>
      <c r="D215" s="9" t="n">
        <f aca="false">B215*Inputs!$C$8</f>
        <v>583.333333333333</v>
      </c>
      <c r="E215" s="9" t="n">
        <v>0</v>
      </c>
      <c r="F215" s="9" t="n">
        <f aca="false">B215-E215</f>
        <v>100000</v>
      </c>
    </row>
    <row r="216" customFormat="false" ht="15" hidden="false" customHeight="false" outlineLevel="0" collapsed="false">
      <c r="A216" s="0" t="n">
        <v>215</v>
      </c>
      <c r="B216" s="9" t="n">
        <f aca="false">F215</f>
        <v>100000</v>
      </c>
      <c r="C216" s="9" t="n">
        <f aca="false">D216</f>
        <v>583.333333333333</v>
      </c>
      <c r="D216" s="9" t="n">
        <f aca="false">B216*Inputs!$C$8</f>
        <v>583.333333333333</v>
      </c>
      <c r="E216" s="9" t="n">
        <v>0</v>
      </c>
      <c r="F216" s="9" t="n">
        <f aca="false">B216-E216</f>
        <v>100000</v>
      </c>
    </row>
    <row r="217" customFormat="false" ht="15" hidden="false" customHeight="false" outlineLevel="0" collapsed="false">
      <c r="A217" s="0" t="n">
        <v>216</v>
      </c>
      <c r="B217" s="9" t="n">
        <f aca="false">F216</f>
        <v>100000</v>
      </c>
      <c r="C217" s="9" t="n">
        <f aca="false">D217</f>
        <v>583.333333333333</v>
      </c>
      <c r="D217" s="9" t="n">
        <f aca="false">B217*Inputs!$C$8</f>
        <v>583.333333333333</v>
      </c>
      <c r="E217" s="9" t="n">
        <v>0</v>
      </c>
      <c r="F217" s="9" t="n">
        <f aca="false">B217-E217</f>
        <v>100000</v>
      </c>
    </row>
    <row r="218" customFormat="false" ht="15" hidden="false" customHeight="false" outlineLevel="0" collapsed="false">
      <c r="A218" s="0" t="n">
        <v>217</v>
      </c>
      <c r="B218" s="9" t="n">
        <f aca="false">F217</f>
        <v>100000</v>
      </c>
      <c r="C218" s="9" t="n">
        <f aca="false">D218</f>
        <v>583.333333333333</v>
      </c>
      <c r="D218" s="9" t="n">
        <f aca="false">B218*Inputs!$C$8</f>
        <v>583.333333333333</v>
      </c>
      <c r="E218" s="9" t="n">
        <v>0</v>
      </c>
      <c r="F218" s="9" t="n">
        <f aca="false">B218-E218</f>
        <v>100000</v>
      </c>
    </row>
    <row r="219" customFormat="false" ht="15" hidden="false" customHeight="false" outlineLevel="0" collapsed="false">
      <c r="A219" s="0" t="n">
        <v>218</v>
      </c>
      <c r="B219" s="9" t="n">
        <f aca="false">F218</f>
        <v>100000</v>
      </c>
      <c r="C219" s="9" t="n">
        <f aca="false">D219</f>
        <v>583.333333333333</v>
      </c>
      <c r="D219" s="9" t="n">
        <f aca="false">B219*Inputs!$C$8</f>
        <v>583.333333333333</v>
      </c>
      <c r="E219" s="9" t="n">
        <v>0</v>
      </c>
      <c r="F219" s="9" t="n">
        <f aca="false">B219-E219</f>
        <v>100000</v>
      </c>
    </row>
    <row r="220" customFormat="false" ht="15" hidden="false" customHeight="false" outlineLevel="0" collapsed="false">
      <c r="A220" s="0" t="n">
        <v>219</v>
      </c>
      <c r="B220" s="9" t="n">
        <f aca="false">F219</f>
        <v>100000</v>
      </c>
      <c r="C220" s="9" t="n">
        <f aca="false">D220</f>
        <v>583.333333333333</v>
      </c>
      <c r="D220" s="9" t="n">
        <f aca="false">B220*Inputs!$C$8</f>
        <v>583.333333333333</v>
      </c>
      <c r="E220" s="9" t="n">
        <v>0</v>
      </c>
      <c r="F220" s="9" t="n">
        <f aca="false">B220-E220</f>
        <v>100000</v>
      </c>
    </row>
    <row r="221" customFormat="false" ht="15" hidden="false" customHeight="false" outlineLevel="0" collapsed="false">
      <c r="A221" s="0" t="n">
        <v>220</v>
      </c>
      <c r="B221" s="9" t="n">
        <f aca="false">F220</f>
        <v>100000</v>
      </c>
      <c r="C221" s="9" t="n">
        <f aca="false">D221</f>
        <v>583.333333333333</v>
      </c>
      <c r="D221" s="9" t="n">
        <f aca="false">B221*Inputs!$C$8</f>
        <v>583.333333333333</v>
      </c>
      <c r="E221" s="9" t="n">
        <v>0</v>
      </c>
      <c r="F221" s="9" t="n">
        <f aca="false">B221-E221</f>
        <v>100000</v>
      </c>
    </row>
    <row r="222" customFormat="false" ht="15" hidden="false" customHeight="false" outlineLevel="0" collapsed="false">
      <c r="A222" s="0" t="n">
        <v>221</v>
      </c>
      <c r="B222" s="9" t="n">
        <f aca="false">F221</f>
        <v>100000</v>
      </c>
      <c r="C222" s="9" t="n">
        <f aca="false">D222</f>
        <v>583.333333333333</v>
      </c>
      <c r="D222" s="9" t="n">
        <f aca="false">B222*Inputs!$C$8</f>
        <v>583.333333333333</v>
      </c>
      <c r="E222" s="9" t="n">
        <v>0</v>
      </c>
      <c r="F222" s="9" t="n">
        <f aca="false">B222-E222</f>
        <v>100000</v>
      </c>
    </row>
    <row r="223" customFormat="false" ht="15" hidden="false" customHeight="false" outlineLevel="0" collapsed="false">
      <c r="A223" s="0" t="n">
        <v>222</v>
      </c>
      <c r="B223" s="9" t="n">
        <f aca="false">F222</f>
        <v>100000</v>
      </c>
      <c r="C223" s="9" t="n">
        <f aca="false">D223</f>
        <v>583.333333333333</v>
      </c>
      <c r="D223" s="9" t="n">
        <f aca="false">B223*Inputs!$C$8</f>
        <v>583.333333333333</v>
      </c>
      <c r="E223" s="9" t="n">
        <v>0</v>
      </c>
      <c r="F223" s="9" t="n">
        <f aca="false">B223-E223</f>
        <v>100000</v>
      </c>
    </row>
    <row r="224" customFormat="false" ht="15" hidden="false" customHeight="false" outlineLevel="0" collapsed="false">
      <c r="A224" s="0" t="n">
        <v>223</v>
      </c>
      <c r="B224" s="9" t="n">
        <f aca="false">F223</f>
        <v>100000</v>
      </c>
      <c r="C224" s="9" t="n">
        <f aca="false">D224</f>
        <v>583.333333333333</v>
      </c>
      <c r="D224" s="9" t="n">
        <f aca="false">B224*Inputs!$C$8</f>
        <v>583.333333333333</v>
      </c>
      <c r="E224" s="9" t="n">
        <v>0</v>
      </c>
      <c r="F224" s="9" t="n">
        <f aca="false">B224-E224</f>
        <v>100000</v>
      </c>
    </row>
    <row r="225" customFormat="false" ht="15" hidden="false" customHeight="false" outlineLevel="0" collapsed="false">
      <c r="A225" s="0" t="n">
        <v>224</v>
      </c>
      <c r="B225" s="9" t="n">
        <f aca="false">F224</f>
        <v>100000</v>
      </c>
      <c r="C225" s="9" t="n">
        <f aca="false">D225</f>
        <v>583.333333333333</v>
      </c>
      <c r="D225" s="9" t="n">
        <f aca="false">B225*Inputs!$C$8</f>
        <v>583.333333333333</v>
      </c>
      <c r="E225" s="9" t="n">
        <v>0</v>
      </c>
      <c r="F225" s="9" t="n">
        <f aca="false">B225-E225</f>
        <v>100000</v>
      </c>
    </row>
    <row r="226" customFormat="false" ht="15" hidden="false" customHeight="false" outlineLevel="0" collapsed="false">
      <c r="A226" s="0" t="n">
        <v>225</v>
      </c>
      <c r="B226" s="9" t="n">
        <f aca="false">F225</f>
        <v>100000</v>
      </c>
      <c r="C226" s="9" t="n">
        <f aca="false">D226</f>
        <v>583.333333333333</v>
      </c>
      <c r="D226" s="9" t="n">
        <f aca="false">B226*Inputs!$C$8</f>
        <v>583.333333333333</v>
      </c>
      <c r="E226" s="9" t="n">
        <v>0</v>
      </c>
      <c r="F226" s="9" t="n">
        <f aca="false">B226-E226</f>
        <v>100000</v>
      </c>
    </row>
    <row r="227" customFormat="false" ht="15" hidden="false" customHeight="false" outlineLevel="0" collapsed="false">
      <c r="A227" s="0" t="n">
        <v>226</v>
      </c>
      <c r="B227" s="9" t="n">
        <f aca="false">F226</f>
        <v>100000</v>
      </c>
      <c r="C227" s="9" t="n">
        <f aca="false">D227</f>
        <v>583.333333333333</v>
      </c>
      <c r="D227" s="9" t="n">
        <f aca="false">B227*Inputs!$C$8</f>
        <v>583.333333333333</v>
      </c>
      <c r="E227" s="9" t="n">
        <v>0</v>
      </c>
      <c r="F227" s="9" t="n">
        <f aca="false">B227-E227</f>
        <v>100000</v>
      </c>
    </row>
    <row r="228" customFormat="false" ht="15" hidden="false" customHeight="false" outlineLevel="0" collapsed="false">
      <c r="A228" s="0" t="n">
        <v>227</v>
      </c>
      <c r="B228" s="9" t="n">
        <f aca="false">F227</f>
        <v>100000</v>
      </c>
      <c r="C228" s="9" t="n">
        <f aca="false">D228</f>
        <v>583.333333333333</v>
      </c>
      <c r="D228" s="9" t="n">
        <f aca="false">B228*Inputs!$C$8</f>
        <v>583.333333333333</v>
      </c>
      <c r="E228" s="9" t="n">
        <v>0</v>
      </c>
      <c r="F228" s="9" t="n">
        <f aca="false">B228-E228</f>
        <v>100000</v>
      </c>
    </row>
    <row r="229" customFormat="false" ht="15" hidden="false" customHeight="false" outlineLevel="0" collapsed="false">
      <c r="A229" s="0" t="n">
        <v>228</v>
      </c>
      <c r="B229" s="9" t="n">
        <f aca="false">F228</f>
        <v>100000</v>
      </c>
      <c r="C229" s="9" t="n">
        <f aca="false">D229</f>
        <v>583.333333333333</v>
      </c>
      <c r="D229" s="9" t="n">
        <f aca="false">B229*Inputs!$C$8</f>
        <v>583.333333333333</v>
      </c>
      <c r="E229" s="9" t="n">
        <v>0</v>
      </c>
      <c r="F229" s="9" t="n">
        <f aca="false">B229-E229</f>
        <v>100000</v>
      </c>
    </row>
    <row r="230" customFormat="false" ht="15" hidden="false" customHeight="false" outlineLevel="0" collapsed="false">
      <c r="A230" s="0" t="n">
        <v>229</v>
      </c>
      <c r="B230" s="9" t="n">
        <f aca="false">F229</f>
        <v>100000</v>
      </c>
      <c r="C230" s="9" t="n">
        <f aca="false">D230</f>
        <v>583.333333333333</v>
      </c>
      <c r="D230" s="9" t="n">
        <f aca="false">B230*Inputs!$C$8</f>
        <v>583.333333333333</v>
      </c>
      <c r="E230" s="9" t="n">
        <v>0</v>
      </c>
      <c r="F230" s="9" t="n">
        <f aca="false">B230-E230</f>
        <v>100000</v>
      </c>
    </row>
    <row r="231" customFormat="false" ht="15" hidden="false" customHeight="false" outlineLevel="0" collapsed="false">
      <c r="A231" s="0" t="n">
        <v>230</v>
      </c>
      <c r="B231" s="9" t="n">
        <f aca="false">F230</f>
        <v>100000</v>
      </c>
      <c r="C231" s="9" t="n">
        <f aca="false">D231</f>
        <v>583.333333333333</v>
      </c>
      <c r="D231" s="9" t="n">
        <f aca="false">B231*Inputs!$C$8</f>
        <v>583.333333333333</v>
      </c>
      <c r="E231" s="9" t="n">
        <v>0</v>
      </c>
      <c r="F231" s="9" t="n">
        <f aca="false">B231-E231</f>
        <v>100000</v>
      </c>
    </row>
    <row r="232" customFormat="false" ht="15" hidden="false" customHeight="false" outlineLevel="0" collapsed="false">
      <c r="A232" s="0" t="n">
        <v>231</v>
      </c>
      <c r="B232" s="9" t="n">
        <f aca="false">F231</f>
        <v>100000</v>
      </c>
      <c r="C232" s="9" t="n">
        <f aca="false">D232</f>
        <v>583.333333333333</v>
      </c>
      <c r="D232" s="9" t="n">
        <f aca="false">B232*Inputs!$C$8</f>
        <v>583.333333333333</v>
      </c>
      <c r="E232" s="9" t="n">
        <v>0</v>
      </c>
      <c r="F232" s="9" t="n">
        <f aca="false">B232-E232</f>
        <v>100000</v>
      </c>
    </row>
    <row r="233" customFormat="false" ht="15" hidden="false" customHeight="false" outlineLevel="0" collapsed="false">
      <c r="A233" s="0" t="n">
        <v>232</v>
      </c>
      <c r="B233" s="9" t="n">
        <f aca="false">F232</f>
        <v>100000</v>
      </c>
      <c r="C233" s="9" t="n">
        <f aca="false">D233</f>
        <v>583.333333333333</v>
      </c>
      <c r="D233" s="9" t="n">
        <f aca="false">B233*Inputs!$C$8</f>
        <v>583.333333333333</v>
      </c>
      <c r="E233" s="9" t="n">
        <v>0</v>
      </c>
      <c r="F233" s="9" t="n">
        <f aca="false">B233-E233</f>
        <v>100000</v>
      </c>
    </row>
    <row r="234" customFormat="false" ht="15" hidden="false" customHeight="false" outlineLevel="0" collapsed="false">
      <c r="A234" s="0" t="n">
        <v>233</v>
      </c>
      <c r="B234" s="9" t="n">
        <f aca="false">F233</f>
        <v>100000</v>
      </c>
      <c r="C234" s="9" t="n">
        <f aca="false">D234</f>
        <v>583.333333333333</v>
      </c>
      <c r="D234" s="9" t="n">
        <f aca="false">B234*Inputs!$C$8</f>
        <v>583.333333333333</v>
      </c>
      <c r="E234" s="9" t="n">
        <v>0</v>
      </c>
      <c r="F234" s="9" t="n">
        <f aca="false">B234-E234</f>
        <v>100000</v>
      </c>
    </row>
    <row r="235" customFormat="false" ht="15" hidden="false" customHeight="false" outlineLevel="0" collapsed="false">
      <c r="A235" s="0" t="n">
        <v>234</v>
      </c>
      <c r="B235" s="9" t="n">
        <f aca="false">F234</f>
        <v>100000</v>
      </c>
      <c r="C235" s="9" t="n">
        <f aca="false">D235</f>
        <v>583.333333333333</v>
      </c>
      <c r="D235" s="9" t="n">
        <f aca="false">B235*Inputs!$C$8</f>
        <v>583.333333333333</v>
      </c>
      <c r="E235" s="9" t="n">
        <v>0</v>
      </c>
      <c r="F235" s="9" t="n">
        <f aca="false">B235-E235</f>
        <v>100000</v>
      </c>
    </row>
    <row r="236" customFormat="false" ht="15" hidden="false" customHeight="false" outlineLevel="0" collapsed="false">
      <c r="A236" s="0" t="n">
        <v>235</v>
      </c>
      <c r="B236" s="9" t="n">
        <f aca="false">F235</f>
        <v>100000</v>
      </c>
      <c r="C236" s="9" t="n">
        <f aca="false">D236</f>
        <v>583.333333333333</v>
      </c>
      <c r="D236" s="9" t="n">
        <f aca="false">B236*Inputs!$C$8</f>
        <v>583.333333333333</v>
      </c>
      <c r="E236" s="9" t="n">
        <v>0</v>
      </c>
      <c r="F236" s="9" t="n">
        <f aca="false">B236-E236</f>
        <v>100000</v>
      </c>
    </row>
    <row r="237" customFormat="false" ht="15" hidden="false" customHeight="false" outlineLevel="0" collapsed="false">
      <c r="A237" s="0" t="n">
        <v>236</v>
      </c>
      <c r="B237" s="9" t="n">
        <f aca="false">F236</f>
        <v>100000</v>
      </c>
      <c r="C237" s="9" t="n">
        <f aca="false">D237</f>
        <v>583.333333333333</v>
      </c>
      <c r="D237" s="9" t="n">
        <f aca="false">B237*Inputs!$C$8</f>
        <v>583.333333333333</v>
      </c>
      <c r="E237" s="9" t="n">
        <v>0</v>
      </c>
      <c r="F237" s="9" t="n">
        <f aca="false">B237-E237</f>
        <v>100000</v>
      </c>
    </row>
    <row r="238" customFormat="false" ht="15" hidden="false" customHeight="false" outlineLevel="0" collapsed="false">
      <c r="A238" s="0" t="n">
        <v>237</v>
      </c>
      <c r="B238" s="9" t="n">
        <f aca="false">F237</f>
        <v>100000</v>
      </c>
      <c r="C238" s="9" t="n">
        <f aca="false">D238</f>
        <v>583.333333333333</v>
      </c>
      <c r="D238" s="9" t="n">
        <f aca="false">B238*Inputs!$C$8</f>
        <v>583.333333333333</v>
      </c>
      <c r="E238" s="9" t="n">
        <v>0</v>
      </c>
      <c r="F238" s="9" t="n">
        <f aca="false">B238-E238</f>
        <v>100000</v>
      </c>
    </row>
    <row r="239" customFormat="false" ht="15" hidden="false" customHeight="false" outlineLevel="0" collapsed="false">
      <c r="A239" s="0" t="n">
        <v>238</v>
      </c>
      <c r="B239" s="9" t="n">
        <f aca="false">F238</f>
        <v>100000</v>
      </c>
      <c r="C239" s="9" t="n">
        <f aca="false">D239</f>
        <v>583.333333333333</v>
      </c>
      <c r="D239" s="9" t="n">
        <f aca="false">B239*Inputs!$C$8</f>
        <v>583.333333333333</v>
      </c>
      <c r="E239" s="9" t="n">
        <v>0</v>
      </c>
      <c r="F239" s="9" t="n">
        <f aca="false">B239-E239</f>
        <v>100000</v>
      </c>
    </row>
    <row r="240" customFormat="false" ht="15" hidden="false" customHeight="false" outlineLevel="0" collapsed="false">
      <c r="A240" s="0" t="n">
        <v>239</v>
      </c>
      <c r="B240" s="9" t="n">
        <f aca="false">F239</f>
        <v>100000</v>
      </c>
      <c r="C240" s="9" t="n">
        <f aca="false">D240</f>
        <v>583.333333333333</v>
      </c>
      <c r="D240" s="9" t="n">
        <f aca="false">B240*Inputs!$C$8</f>
        <v>583.333333333333</v>
      </c>
      <c r="E240" s="9" t="n">
        <v>0</v>
      </c>
      <c r="F240" s="9" t="n">
        <f aca="false">B240-E240</f>
        <v>100000</v>
      </c>
    </row>
    <row r="241" customFormat="false" ht="15" hidden="false" customHeight="false" outlineLevel="0" collapsed="false">
      <c r="A241" s="0" t="n">
        <v>240</v>
      </c>
      <c r="B241" s="9" t="n">
        <f aca="false">F240</f>
        <v>100000</v>
      </c>
      <c r="C241" s="9" t="n">
        <f aca="false">D241</f>
        <v>583.333333333333</v>
      </c>
      <c r="D241" s="9" t="n">
        <f aca="false">B241*Inputs!$C$8</f>
        <v>583.333333333333</v>
      </c>
      <c r="E241" s="9" t="n">
        <v>0</v>
      </c>
      <c r="F241" s="9" t="n">
        <f aca="false">B241-E241</f>
        <v>100000</v>
      </c>
    </row>
    <row r="242" customFormat="false" ht="15" hidden="false" customHeight="false" outlineLevel="0" collapsed="false">
      <c r="A242" s="0" t="n">
        <v>241</v>
      </c>
      <c r="B242" s="9" t="n">
        <f aca="false">F241</f>
        <v>100000</v>
      </c>
      <c r="C242" s="9" t="n">
        <f aca="false">D242</f>
        <v>583.333333333333</v>
      </c>
      <c r="D242" s="9" t="n">
        <f aca="false">B242*Inputs!$C$8</f>
        <v>583.333333333333</v>
      </c>
      <c r="E242" s="9" t="n">
        <v>0</v>
      </c>
      <c r="F242" s="9" t="n">
        <f aca="false">B242-E242</f>
        <v>100000</v>
      </c>
    </row>
    <row r="243" customFormat="false" ht="15" hidden="false" customHeight="false" outlineLevel="0" collapsed="false">
      <c r="A243" s="0" t="n">
        <v>242</v>
      </c>
      <c r="B243" s="9" t="n">
        <f aca="false">F242</f>
        <v>100000</v>
      </c>
      <c r="C243" s="9" t="n">
        <f aca="false">D243</f>
        <v>583.333333333333</v>
      </c>
      <c r="D243" s="9" t="n">
        <f aca="false">B243*Inputs!$C$8</f>
        <v>583.333333333333</v>
      </c>
      <c r="E243" s="9" t="n">
        <v>0</v>
      </c>
      <c r="F243" s="9" t="n">
        <f aca="false">B243-E243</f>
        <v>100000</v>
      </c>
    </row>
    <row r="244" customFormat="false" ht="15" hidden="false" customHeight="false" outlineLevel="0" collapsed="false">
      <c r="A244" s="0" t="n">
        <v>243</v>
      </c>
      <c r="B244" s="9" t="n">
        <f aca="false">F243</f>
        <v>100000</v>
      </c>
      <c r="C244" s="9" t="n">
        <f aca="false">D244</f>
        <v>583.333333333333</v>
      </c>
      <c r="D244" s="9" t="n">
        <f aca="false">B244*Inputs!$C$8</f>
        <v>583.333333333333</v>
      </c>
      <c r="E244" s="9" t="n">
        <v>0</v>
      </c>
      <c r="F244" s="9" t="n">
        <f aca="false">B244-E244</f>
        <v>100000</v>
      </c>
    </row>
    <row r="245" customFormat="false" ht="15" hidden="false" customHeight="false" outlineLevel="0" collapsed="false">
      <c r="A245" s="0" t="n">
        <v>244</v>
      </c>
      <c r="B245" s="9" t="n">
        <f aca="false">F244</f>
        <v>100000</v>
      </c>
      <c r="C245" s="9" t="n">
        <f aca="false">D245</f>
        <v>583.333333333333</v>
      </c>
      <c r="D245" s="9" t="n">
        <f aca="false">B245*Inputs!$C$8</f>
        <v>583.333333333333</v>
      </c>
      <c r="E245" s="9" t="n">
        <v>0</v>
      </c>
      <c r="F245" s="9" t="n">
        <f aca="false">B245-E245</f>
        <v>100000</v>
      </c>
    </row>
    <row r="246" customFormat="false" ht="15" hidden="false" customHeight="false" outlineLevel="0" collapsed="false">
      <c r="A246" s="0" t="n">
        <v>245</v>
      </c>
      <c r="B246" s="9" t="n">
        <f aca="false">F245</f>
        <v>100000</v>
      </c>
      <c r="C246" s="9" t="n">
        <f aca="false">D246</f>
        <v>583.333333333333</v>
      </c>
      <c r="D246" s="9" t="n">
        <f aca="false">B246*Inputs!$C$8</f>
        <v>583.333333333333</v>
      </c>
      <c r="E246" s="9" t="n">
        <v>0</v>
      </c>
      <c r="F246" s="9" t="n">
        <f aca="false">B246-E246</f>
        <v>100000</v>
      </c>
    </row>
    <row r="247" customFormat="false" ht="15" hidden="false" customHeight="false" outlineLevel="0" collapsed="false">
      <c r="A247" s="0" t="n">
        <v>246</v>
      </c>
      <c r="B247" s="9" t="n">
        <f aca="false">F246</f>
        <v>100000</v>
      </c>
      <c r="C247" s="9" t="n">
        <f aca="false">D247</f>
        <v>583.333333333333</v>
      </c>
      <c r="D247" s="9" t="n">
        <f aca="false">B247*Inputs!$C$8</f>
        <v>583.333333333333</v>
      </c>
      <c r="E247" s="9" t="n">
        <v>0</v>
      </c>
      <c r="F247" s="9" t="n">
        <f aca="false">B247-E247</f>
        <v>100000</v>
      </c>
    </row>
    <row r="248" customFormat="false" ht="15" hidden="false" customHeight="false" outlineLevel="0" collapsed="false">
      <c r="A248" s="0" t="n">
        <v>247</v>
      </c>
      <c r="B248" s="9" t="n">
        <f aca="false">F247</f>
        <v>100000</v>
      </c>
      <c r="C248" s="9" t="n">
        <f aca="false">D248</f>
        <v>583.333333333333</v>
      </c>
      <c r="D248" s="9" t="n">
        <f aca="false">B248*Inputs!$C$8</f>
        <v>583.333333333333</v>
      </c>
      <c r="E248" s="9" t="n">
        <v>0</v>
      </c>
      <c r="F248" s="9" t="n">
        <f aca="false">B248-E248</f>
        <v>100000</v>
      </c>
    </row>
    <row r="249" customFormat="false" ht="15" hidden="false" customHeight="false" outlineLevel="0" collapsed="false">
      <c r="A249" s="0" t="n">
        <v>248</v>
      </c>
      <c r="B249" s="9" t="n">
        <f aca="false">F248</f>
        <v>100000</v>
      </c>
      <c r="C249" s="9" t="n">
        <f aca="false">D249</f>
        <v>583.333333333333</v>
      </c>
      <c r="D249" s="9" t="n">
        <f aca="false">B249*Inputs!$C$8</f>
        <v>583.333333333333</v>
      </c>
      <c r="E249" s="9" t="n">
        <v>0</v>
      </c>
      <c r="F249" s="9" t="n">
        <f aca="false">B249-E249</f>
        <v>100000</v>
      </c>
    </row>
    <row r="250" customFormat="false" ht="15" hidden="false" customHeight="false" outlineLevel="0" collapsed="false">
      <c r="A250" s="0" t="n">
        <v>249</v>
      </c>
      <c r="B250" s="9" t="n">
        <f aca="false">F249</f>
        <v>100000</v>
      </c>
      <c r="C250" s="9" t="n">
        <f aca="false">D250</f>
        <v>583.333333333333</v>
      </c>
      <c r="D250" s="9" t="n">
        <f aca="false">B250*Inputs!$C$8</f>
        <v>583.333333333333</v>
      </c>
      <c r="E250" s="9" t="n">
        <v>0</v>
      </c>
      <c r="F250" s="9" t="n">
        <f aca="false">B250-E250</f>
        <v>100000</v>
      </c>
    </row>
    <row r="251" customFormat="false" ht="15" hidden="false" customHeight="false" outlineLevel="0" collapsed="false">
      <c r="A251" s="0" t="n">
        <v>250</v>
      </c>
      <c r="B251" s="9" t="n">
        <f aca="false">F250</f>
        <v>100000</v>
      </c>
      <c r="C251" s="9" t="n">
        <f aca="false">D251</f>
        <v>583.333333333333</v>
      </c>
      <c r="D251" s="9" t="n">
        <f aca="false">B251*Inputs!$C$8</f>
        <v>583.333333333333</v>
      </c>
      <c r="E251" s="9" t="n">
        <v>0</v>
      </c>
      <c r="F251" s="9" t="n">
        <f aca="false">B251-E251</f>
        <v>100000</v>
      </c>
    </row>
    <row r="252" customFormat="false" ht="15" hidden="false" customHeight="false" outlineLevel="0" collapsed="false">
      <c r="A252" s="0" t="n">
        <v>251</v>
      </c>
      <c r="B252" s="9" t="n">
        <f aca="false">F251</f>
        <v>100000</v>
      </c>
      <c r="C252" s="9" t="n">
        <f aca="false">D252</f>
        <v>583.333333333333</v>
      </c>
      <c r="D252" s="9" t="n">
        <f aca="false">B252*Inputs!$C$8</f>
        <v>583.333333333333</v>
      </c>
      <c r="E252" s="9" t="n">
        <v>0</v>
      </c>
      <c r="F252" s="9" t="n">
        <f aca="false">B252-E252</f>
        <v>100000</v>
      </c>
    </row>
    <row r="253" customFormat="false" ht="15" hidden="false" customHeight="false" outlineLevel="0" collapsed="false">
      <c r="A253" s="0" t="n">
        <v>252</v>
      </c>
      <c r="B253" s="9" t="n">
        <f aca="false">F252</f>
        <v>100000</v>
      </c>
      <c r="C253" s="9" t="n">
        <f aca="false">D253</f>
        <v>583.333333333333</v>
      </c>
      <c r="D253" s="9" t="n">
        <f aca="false">B253*Inputs!$C$8</f>
        <v>583.333333333333</v>
      </c>
      <c r="E253" s="9" t="n">
        <v>0</v>
      </c>
      <c r="F253" s="9" t="n">
        <f aca="false">B253-E253</f>
        <v>100000</v>
      </c>
    </row>
    <row r="254" customFormat="false" ht="15" hidden="false" customHeight="false" outlineLevel="0" collapsed="false">
      <c r="A254" s="0" t="n">
        <v>253</v>
      </c>
      <c r="B254" s="9" t="n">
        <f aca="false">F253</f>
        <v>100000</v>
      </c>
      <c r="C254" s="9" t="n">
        <f aca="false">D254</f>
        <v>583.333333333333</v>
      </c>
      <c r="D254" s="9" t="n">
        <f aca="false">B254*Inputs!$C$8</f>
        <v>583.333333333333</v>
      </c>
      <c r="E254" s="9" t="n">
        <v>0</v>
      </c>
      <c r="F254" s="9" t="n">
        <f aca="false">B254-E254</f>
        <v>100000</v>
      </c>
    </row>
    <row r="255" customFormat="false" ht="15" hidden="false" customHeight="false" outlineLevel="0" collapsed="false">
      <c r="A255" s="0" t="n">
        <v>254</v>
      </c>
      <c r="B255" s="9" t="n">
        <f aca="false">F254</f>
        <v>100000</v>
      </c>
      <c r="C255" s="9" t="n">
        <f aca="false">D255</f>
        <v>583.333333333333</v>
      </c>
      <c r="D255" s="9" t="n">
        <f aca="false">B255*Inputs!$C$8</f>
        <v>583.333333333333</v>
      </c>
      <c r="E255" s="9" t="n">
        <v>0</v>
      </c>
      <c r="F255" s="9" t="n">
        <f aca="false">B255-E255</f>
        <v>100000</v>
      </c>
    </row>
    <row r="256" customFormat="false" ht="15" hidden="false" customHeight="false" outlineLevel="0" collapsed="false">
      <c r="A256" s="0" t="n">
        <v>255</v>
      </c>
      <c r="B256" s="9" t="n">
        <f aca="false">F255</f>
        <v>100000</v>
      </c>
      <c r="C256" s="9" t="n">
        <f aca="false">D256</f>
        <v>583.333333333333</v>
      </c>
      <c r="D256" s="9" t="n">
        <f aca="false">B256*Inputs!$C$8</f>
        <v>583.333333333333</v>
      </c>
      <c r="E256" s="9" t="n">
        <v>0</v>
      </c>
      <c r="F256" s="9" t="n">
        <f aca="false">B256-E256</f>
        <v>100000</v>
      </c>
    </row>
    <row r="257" customFormat="false" ht="15" hidden="false" customHeight="false" outlineLevel="0" collapsed="false">
      <c r="A257" s="0" t="n">
        <v>256</v>
      </c>
      <c r="B257" s="9" t="n">
        <f aca="false">F256</f>
        <v>100000</v>
      </c>
      <c r="C257" s="9" t="n">
        <f aca="false">D257</f>
        <v>583.333333333333</v>
      </c>
      <c r="D257" s="9" t="n">
        <f aca="false">B257*Inputs!$C$8</f>
        <v>583.333333333333</v>
      </c>
      <c r="E257" s="9" t="n">
        <v>0</v>
      </c>
      <c r="F257" s="9" t="n">
        <f aca="false">B257-E257</f>
        <v>100000</v>
      </c>
    </row>
    <row r="258" customFormat="false" ht="15" hidden="false" customHeight="false" outlineLevel="0" collapsed="false">
      <c r="A258" s="0" t="n">
        <v>257</v>
      </c>
      <c r="B258" s="9" t="n">
        <f aca="false">F257</f>
        <v>100000</v>
      </c>
      <c r="C258" s="9" t="n">
        <f aca="false">D258</f>
        <v>583.333333333333</v>
      </c>
      <c r="D258" s="9" t="n">
        <f aca="false">B258*Inputs!$C$8</f>
        <v>583.333333333333</v>
      </c>
      <c r="E258" s="9" t="n">
        <v>0</v>
      </c>
      <c r="F258" s="9" t="n">
        <f aca="false">B258-E258</f>
        <v>100000</v>
      </c>
    </row>
    <row r="259" customFormat="false" ht="15" hidden="false" customHeight="false" outlineLevel="0" collapsed="false">
      <c r="A259" s="0" t="n">
        <v>258</v>
      </c>
      <c r="B259" s="9" t="n">
        <f aca="false">F258</f>
        <v>100000</v>
      </c>
      <c r="C259" s="9" t="n">
        <f aca="false">D259</f>
        <v>583.333333333333</v>
      </c>
      <c r="D259" s="9" t="n">
        <f aca="false">B259*Inputs!$C$8</f>
        <v>583.333333333333</v>
      </c>
      <c r="E259" s="9" t="n">
        <v>0</v>
      </c>
      <c r="F259" s="9" t="n">
        <f aca="false">B259-E259</f>
        <v>100000</v>
      </c>
    </row>
    <row r="260" customFormat="false" ht="15" hidden="false" customHeight="false" outlineLevel="0" collapsed="false">
      <c r="A260" s="0" t="n">
        <v>259</v>
      </c>
      <c r="B260" s="9" t="n">
        <f aca="false">F259</f>
        <v>100000</v>
      </c>
      <c r="C260" s="9" t="n">
        <f aca="false">D260</f>
        <v>583.333333333333</v>
      </c>
      <c r="D260" s="9" t="n">
        <f aca="false">B260*Inputs!$C$8</f>
        <v>583.333333333333</v>
      </c>
      <c r="E260" s="9" t="n">
        <v>0</v>
      </c>
      <c r="F260" s="9" t="n">
        <f aca="false">B260-E260</f>
        <v>100000</v>
      </c>
    </row>
    <row r="261" customFormat="false" ht="15" hidden="false" customHeight="false" outlineLevel="0" collapsed="false">
      <c r="A261" s="0" t="n">
        <v>260</v>
      </c>
      <c r="B261" s="9" t="n">
        <f aca="false">F260</f>
        <v>100000</v>
      </c>
      <c r="C261" s="9" t="n">
        <f aca="false">D261</f>
        <v>583.333333333333</v>
      </c>
      <c r="D261" s="9" t="n">
        <f aca="false">B261*Inputs!$C$8</f>
        <v>583.333333333333</v>
      </c>
      <c r="E261" s="9" t="n">
        <v>0</v>
      </c>
      <c r="F261" s="9" t="n">
        <f aca="false">B261-E261</f>
        <v>100000</v>
      </c>
    </row>
    <row r="262" customFormat="false" ht="15" hidden="false" customHeight="false" outlineLevel="0" collapsed="false">
      <c r="A262" s="0" t="n">
        <v>261</v>
      </c>
      <c r="B262" s="9" t="n">
        <f aca="false">F261</f>
        <v>100000</v>
      </c>
      <c r="C262" s="9" t="n">
        <f aca="false">D262</f>
        <v>583.333333333333</v>
      </c>
      <c r="D262" s="9" t="n">
        <f aca="false">B262*Inputs!$C$8</f>
        <v>583.333333333333</v>
      </c>
      <c r="E262" s="9" t="n">
        <v>0</v>
      </c>
      <c r="F262" s="9" t="n">
        <f aca="false">B262-E262</f>
        <v>100000</v>
      </c>
    </row>
    <row r="263" customFormat="false" ht="15" hidden="false" customHeight="false" outlineLevel="0" collapsed="false">
      <c r="A263" s="0" t="n">
        <v>262</v>
      </c>
      <c r="B263" s="9" t="n">
        <f aca="false">F262</f>
        <v>100000</v>
      </c>
      <c r="C263" s="9" t="n">
        <f aca="false">D263</f>
        <v>583.333333333333</v>
      </c>
      <c r="D263" s="9" t="n">
        <f aca="false">B263*Inputs!$C$8</f>
        <v>583.333333333333</v>
      </c>
      <c r="E263" s="9" t="n">
        <v>0</v>
      </c>
      <c r="F263" s="9" t="n">
        <f aca="false">B263-E263</f>
        <v>100000</v>
      </c>
    </row>
    <row r="264" customFormat="false" ht="15" hidden="false" customHeight="false" outlineLevel="0" collapsed="false">
      <c r="A264" s="0" t="n">
        <v>263</v>
      </c>
      <c r="B264" s="9" t="n">
        <f aca="false">F263</f>
        <v>100000</v>
      </c>
      <c r="C264" s="9" t="n">
        <f aca="false">D264</f>
        <v>583.333333333333</v>
      </c>
      <c r="D264" s="9" t="n">
        <f aca="false">B264*Inputs!$C$8</f>
        <v>583.333333333333</v>
      </c>
      <c r="E264" s="9" t="n">
        <v>0</v>
      </c>
      <c r="F264" s="9" t="n">
        <f aca="false">B264-E264</f>
        <v>100000</v>
      </c>
    </row>
    <row r="265" customFormat="false" ht="15" hidden="false" customHeight="false" outlineLevel="0" collapsed="false">
      <c r="A265" s="0" t="n">
        <v>264</v>
      </c>
      <c r="B265" s="9" t="n">
        <f aca="false">F264</f>
        <v>100000</v>
      </c>
      <c r="C265" s="9" t="n">
        <f aca="false">D265</f>
        <v>583.333333333333</v>
      </c>
      <c r="D265" s="9" t="n">
        <f aca="false">B265*Inputs!$C$8</f>
        <v>583.333333333333</v>
      </c>
      <c r="E265" s="9" t="n">
        <v>0</v>
      </c>
      <c r="F265" s="9" t="n">
        <f aca="false">B265-E265</f>
        <v>100000</v>
      </c>
    </row>
    <row r="266" customFormat="false" ht="15" hidden="false" customHeight="false" outlineLevel="0" collapsed="false">
      <c r="A266" s="0" t="n">
        <v>265</v>
      </c>
      <c r="B266" s="9" t="n">
        <f aca="false">F265</f>
        <v>100000</v>
      </c>
      <c r="C266" s="9" t="n">
        <f aca="false">D266</f>
        <v>583.333333333333</v>
      </c>
      <c r="D266" s="9" t="n">
        <f aca="false">B266*Inputs!$C$8</f>
        <v>583.333333333333</v>
      </c>
      <c r="E266" s="9" t="n">
        <v>0</v>
      </c>
      <c r="F266" s="9" t="n">
        <f aca="false">B266-E266</f>
        <v>100000</v>
      </c>
    </row>
    <row r="267" customFormat="false" ht="15" hidden="false" customHeight="false" outlineLevel="0" collapsed="false">
      <c r="A267" s="0" t="n">
        <v>266</v>
      </c>
      <c r="B267" s="9" t="n">
        <f aca="false">F266</f>
        <v>100000</v>
      </c>
      <c r="C267" s="9" t="n">
        <f aca="false">D267</f>
        <v>583.333333333333</v>
      </c>
      <c r="D267" s="9" t="n">
        <f aca="false">B267*Inputs!$C$8</f>
        <v>583.333333333333</v>
      </c>
      <c r="E267" s="9" t="n">
        <v>0</v>
      </c>
      <c r="F267" s="9" t="n">
        <f aca="false">B267-E267</f>
        <v>100000</v>
      </c>
    </row>
    <row r="268" customFormat="false" ht="15" hidden="false" customHeight="false" outlineLevel="0" collapsed="false">
      <c r="A268" s="0" t="n">
        <v>267</v>
      </c>
      <c r="B268" s="9" t="n">
        <f aca="false">F267</f>
        <v>100000</v>
      </c>
      <c r="C268" s="9" t="n">
        <f aca="false">D268</f>
        <v>583.333333333333</v>
      </c>
      <c r="D268" s="9" t="n">
        <f aca="false">B268*Inputs!$C$8</f>
        <v>583.333333333333</v>
      </c>
      <c r="E268" s="9" t="n">
        <v>0</v>
      </c>
      <c r="F268" s="9" t="n">
        <f aca="false">B268-E268</f>
        <v>100000</v>
      </c>
    </row>
    <row r="269" customFormat="false" ht="15" hidden="false" customHeight="false" outlineLevel="0" collapsed="false">
      <c r="A269" s="0" t="n">
        <v>268</v>
      </c>
      <c r="B269" s="9" t="n">
        <f aca="false">F268</f>
        <v>100000</v>
      </c>
      <c r="C269" s="9" t="n">
        <f aca="false">D269</f>
        <v>583.333333333333</v>
      </c>
      <c r="D269" s="9" t="n">
        <f aca="false">B269*Inputs!$C$8</f>
        <v>583.333333333333</v>
      </c>
      <c r="E269" s="9" t="n">
        <v>0</v>
      </c>
      <c r="F269" s="9" t="n">
        <f aca="false">B269-E269</f>
        <v>100000</v>
      </c>
    </row>
    <row r="270" customFormat="false" ht="15" hidden="false" customHeight="false" outlineLevel="0" collapsed="false">
      <c r="A270" s="0" t="n">
        <v>269</v>
      </c>
      <c r="B270" s="9" t="n">
        <f aca="false">F269</f>
        <v>100000</v>
      </c>
      <c r="C270" s="9" t="n">
        <f aca="false">D270</f>
        <v>583.333333333333</v>
      </c>
      <c r="D270" s="9" t="n">
        <f aca="false">B270*Inputs!$C$8</f>
        <v>583.333333333333</v>
      </c>
      <c r="E270" s="9" t="n">
        <v>0</v>
      </c>
      <c r="F270" s="9" t="n">
        <f aca="false">B270-E270</f>
        <v>100000</v>
      </c>
    </row>
    <row r="271" customFormat="false" ht="15" hidden="false" customHeight="false" outlineLevel="0" collapsed="false">
      <c r="A271" s="0" t="n">
        <v>270</v>
      </c>
      <c r="B271" s="9" t="n">
        <f aca="false">F270</f>
        <v>100000</v>
      </c>
      <c r="C271" s="9" t="n">
        <f aca="false">D271</f>
        <v>583.333333333333</v>
      </c>
      <c r="D271" s="9" t="n">
        <f aca="false">B271*Inputs!$C$8</f>
        <v>583.333333333333</v>
      </c>
      <c r="E271" s="9" t="n">
        <v>0</v>
      </c>
      <c r="F271" s="9" t="n">
        <f aca="false">B271-E271</f>
        <v>100000</v>
      </c>
    </row>
    <row r="272" customFormat="false" ht="15" hidden="false" customHeight="false" outlineLevel="0" collapsed="false">
      <c r="A272" s="0" t="n">
        <v>271</v>
      </c>
      <c r="B272" s="9" t="n">
        <f aca="false">F271</f>
        <v>100000</v>
      </c>
      <c r="C272" s="9" t="n">
        <f aca="false">D272</f>
        <v>583.333333333333</v>
      </c>
      <c r="D272" s="9" t="n">
        <f aca="false">B272*Inputs!$C$8</f>
        <v>583.333333333333</v>
      </c>
      <c r="E272" s="9" t="n">
        <v>0</v>
      </c>
      <c r="F272" s="9" t="n">
        <f aca="false">B272-E272</f>
        <v>100000</v>
      </c>
    </row>
    <row r="273" customFormat="false" ht="15" hidden="false" customHeight="false" outlineLevel="0" collapsed="false">
      <c r="A273" s="0" t="n">
        <v>272</v>
      </c>
      <c r="B273" s="9" t="n">
        <f aca="false">F272</f>
        <v>100000</v>
      </c>
      <c r="C273" s="9" t="n">
        <f aca="false">D273</f>
        <v>583.333333333333</v>
      </c>
      <c r="D273" s="9" t="n">
        <f aca="false">B273*Inputs!$C$8</f>
        <v>583.333333333333</v>
      </c>
      <c r="E273" s="9" t="n">
        <v>0</v>
      </c>
      <c r="F273" s="9" t="n">
        <f aca="false">B273-E273</f>
        <v>100000</v>
      </c>
    </row>
    <row r="274" customFormat="false" ht="15" hidden="false" customHeight="false" outlineLevel="0" collapsed="false">
      <c r="A274" s="0" t="n">
        <v>273</v>
      </c>
      <c r="B274" s="9" t="n">
        <f aca="false">F273</f>
        <v>100000</v>
      </c>
      <c r="C274" s="9" t="n">
        <f aca="false">D274</f>
        <v>583.333333333333</v>
      </c>
      <c r="D274" s="9" t="n">
        <f aca="false">B274*Inputs!$C$8</f>
        <v>583.333333333333</v>
      </c>
      <c r="E274" s="9" t="n">
        <v>0</v>
      </c>
      <c r="F274" s="9" t="n">
        <f aca="false">B274-E274</f>
        <v>100000</v>
      </c>
    </row>
    <row r="275" customFormat="false" ht="15" hidden="false" customHeight="false" outlineLevel="0" collapsed="false">
      <c r="A275" s="0" t="n">
        <v>274</v>
      </c>
      <c r="B275" s="9" t="n">
        <f aca="false">F274</f>
        <v>100000</v>
      </c>
      <c r="C275" s="9" t="n">
        <f aca="false">D275</f>
        <v>583.333333333333</v>
      </c>
      <c r="D275" s="9" t="n">
        <f aca="false">B275*Inputs!$C$8</f>
        <v>583.333333333333</v>
      </c>
      <c r="E275" s="9" t="n">
        <v>0</v>
      </c>
      <c r="F275" s="9" t="n">
        <f aca="false">B275-E275</f>
        <v>100000</v>
      </c>
    </row>
    <row r="276" customFormat="false" ht="15" hidden="false" customHeight="false" outlineLevel="0" collapsed="false">
      <c r="A276" s="0" t="n">
        <v>275</v>
      </c>
      <c r="B276" s="9" t="n">
        <f aca="false">F275</f>
        <v>100000</v>
      </c>
      <c r="C276" s="9" t="n">
        <f aca="false">D276</f>
        <v>583.333333333333</v>
      </c>
      <c r="D276" s="9" t="n">
        <f aca="false">B276*Inputs!$C$8</f>
        <v>583.333333333333</v>
      </c>
      <c r="E276" s="9" t="n">
        <v>0</v>
      </c>
      <c r="F276" s="9" t="n">
        <f aca="false">B276-E276</f>
        <v>100000</v>
      </c>
    </row>
    <row r="277" customFormat="false" ht="15" hidden="false" customHeight="false" outlineLevel="0" collapsed="false">
      <c r="A277" s="0" t="n">
        <v>276</v>
      </c>
      <c r="B277" s="9" t="n">
        <f aca="false">F276</f>
        <v>100000</v>
      </c>
      <c r="C277" s="9" t="n">
        <f aca="false">D277</f>
        <v>583.333333333333</v>
      </c>
      <c r="D277" s="9" t="n">
        <f aca="false">B277*Inputs!$C$8</f>
        <v>583.333333333333</v>
      </c>
      <c r="E277" s="9" t="n">
        <v>0</v>
      </c>
      <c r="F277" s="9" t="n">
        <f aca="false">B277-E277</f>
        <v>100000</v>
      </c>
    </row>
    <row r="278" customFormat="false" ht="15" hidden="false" customHeight="false" outlineLevel="0" collapsed="false">
      <c r="A278" s="0" t="n">
        <v>277</v>
      </c>
      <c r="B278" s="9" t="n">
        <f aca="false">F277</f>
        <v>100000</v>
      </c>
      <c r="C278" s="9" t="n">
        <f aca="false">D278</f>
        <v>583.333333333333</v>
      </c>
      <c r="D278" s="9" t="n">
        <f aca="false">B278*Inputs!$C$8</f>
        <v>583.333333333333</v>
      </c>
      <c r="E278" s="9" t="n">
        <v>0</v>
      </c>
      <c r="F278" s="9" t="n">
        <f aca="false">B278-E278</f>
        <v>100000</v>
      </c>
    </row>
    <row r="279" customFormat="false" ht="15" hidden="false" customHeight="false" outlineLevel="0" collapsed="false">
      <c r="A279" s="0" t="n">
        <v>278</v>
      </c>
      <c r="B279" s="9" t="n">
        <f aca="false">F278</f>
        <v>100000</v>
      </c>
      <c r="C279" s="9" t="n">
        <f aca="false">D279</f>
        <v>583.333333333333</v>
      </c>
      <c r="D279" s="9" t="n">
        <f aca="false">B279*Inputs!$C$8</f>
        <v>583.333333333333</v>
      </c>
      <c r="E279" s="9" t="n">
        <v>0</v>
      </c>
      <c r="F279" s="9" t="n">
        <f aca="false">B279-E279</f>
        <v>100000</v>
      </c>
    </row>
    <row r="280" customFormat="false" ht="15" hidden="false" customHeight="false" outlineLevel="0" collapsed="false">
      <c r="A280" s="0" t="n">
        <v>279</v>
      </c>
      <c r="B280" s="9" t="n">
        <f aca="false">F279</f>
        <v>100000</v>
      </c>
      <c r="C280" s="9" t="n">
        <f aca="false">D280</f>
        <v>583.333333333333</v>
      </c>
      <c r="D280" s="9" t="n">
        <f aca="false">B280*Inputs!$C$8</f>
        <v>583.333333333333</v>
      </c>
      <c r="E280" s="9" t="n">
        <v>0</v>
      </c>
      <c r="F280" s="9" t="n">
        <f aca="false">B280-E280</f>
        <v>100000</v>
      </c>
    </row>
    <row r="281" customFormat="false" ht="15" hidden="false" customHeight="false" outlineLevel="0" collapsed="false">
      <c r="A281" s="0" t="n">
        <v>280</v>
      </c>
      <c r="B281" s="9" t="n">
        <f aca="false">F280</f>
        <v>100000</v>
      </c>
      <c r="C281" s="9" t="n">
        <f aca="false">D281</f>
        <v>583.333333333333</v>
      </c>
      <c r="D281" s="9" t="n">
        <f aca="false">B281*Inputs!$C$8</f>
        <v>583.333333333333</v>
      </c>
      <c r="E281" s="9" t="n">
        <v>0</v>
      </c>
      <c r="F281" s="9" t="n">
        <f aca="false">B281-E281</f>
        <v>100000</v>
      </c>
    </row>
    <row r="282" customFormat="false" ht="15" hidden="false" customHeight="false" outlineLevel="0" collapsed="false">
      <c r="A282" s="0" t="n">
        <v>281</v>
      </c>
      <c r="B282" s="9" t="n">
        <f aca="false">F281</f>
        <v>100000</v>
      </c>
      <c r="C282" s="9" t="n">
        <f aca="false">D282</f>
        <v>583.333333333333</v>
      </c>
      <c r="D282" s="9" t="n">
        <f aca="false">B282*Inputs!$C$8</f>
        <v>583.333333333333</v>
      </c>
      <c r="E282" s="9" t="n">
        <v>0</v>
      </c>
      <c r="F282" s="9" t="n">
        <f aca="false">B282-E282</f>
        <v>100000</v>
      </c>
    </row>
    <row r="283" customFormat="false" ht="15" hidden="false" customHeight="false" outlineLevel="0" collapsed="false">
      <c r="A283" s="0" t="n">
        <v>282</v>
      </c>
      <c r="B283" s="9" t="n">
        <f aca="false">F282</f>
        <v>100000</v>
      </c>
      <c r="C283" s="9" t="n">
        <f aca="false">D283</f>
        <v>583.333333333333</v>
      </c>
      <c r="D283" s="9" t="n">
        <f aca="false">B283*Inputs!$C$8</f>
        <v>583.333333333333</v>
      </c>
      <c r="E283" s="9" t="n">
        <v>0</v>
      </c>
      <c r="F283" s="9" t="n">
        <f aca="false">B283-E283</f>
        <v>100000</v>
      </c>
    </row>
    <row r="284" customFormat="false" ht="15" hidden="false" customHeight="false" outlineLevel="0" collapsed="false">
      <c r="A284" s="0" t="n">
        <v>283</v>
      </c>
      <c r="B284" s="9" t="n">
        <f aca="false">F283</f>
        <v>100000</v>
      </c>
      <c r="C284" s="9" t="n">
        <f aca="false">D284</f>
        <v>583.333333333333</v>
      </c>
      <c r="D284" s="9" t="n">
        <f aca="false">B284*Inputs!$C$8</f>
        <v>583.333333333333</v>
      </c>
      <c r="E284" s="9" t="n">
        <v>0</v>
      </c>
      <c r="F284" s="9" t="n">
        <f aca="false">B284-E284</f>
        <v>100000</v>
      </c>
    </row>
    <row r="285" customFormat="false" ht="15" hidden="false" customHeight="false" outlineLevel="0" collapsed="false">
      <c r="A285" s="0" t="n">
        <v>284</v>
      </c>
      <c r="B285" s="9" t="n">
        <f aca="false">F284</f>
        <v>100000</v>
      </c>
      <c r="C285" s="9" t="n">
        <f aca="false">D285</f>
        <v>583.333333333333</v>
      </c>
      <c r="D285" s="9" t="n">
        <f aca="false">B285*Inputs!$C$8</f>
        <v>583.333333333333</v>
      </c>
      <c r="E285" s="9" t="n">
        <v>0</v>
      </c>
      <c r="F285" s="9" t="n">
        <f aca="false">B285-E285</f>
        <v>100000</v>
      </c>
    </row>
    <row r="286" customFormat="false" ht="15" hidden="false" customHeight="false" outlineLevel="0" collapsed="false">
      <c r="A286" s="0" t="n">
        <v>285</v>
      </c>
      <c r="B286" s="9" t="n">
        <f aca="false">F285</f>
        <v>100000</v>
      </c>
      <c r="C286" s="9" t="n">
        <f aca="false">D286</f>
        <v>583.333333333333</v>
      </c>
      <c r="D286" s="9" t="n">
        <f aca="false">B286*Inputs!$C$8</f>
        <v>583.333333333333</v>
      </c>
      <c r="E286" s="9" t="n">
        <v>0</v>
      </c>
      <c r="F286" s="9" t="n">
        <f aca="false">B286-E286</f>
        <v>100000</v>
      </c>
    </row>
    <row r="287" customFormat="false" ht="15" hidden="false" customHeight="false" outlineLevel="0" collapsed="false">
      <c r="A287" s="0" t="n">
        <v>286</v>
      </c>
      <c r="B287" s="9" t="n">
        <f aca="false">F286</f>
        <v>100000</v>
      </c>
      <c r="C287" s="9" t="n">
        <f aca="false">D287</f>
        <v>583.333333333333</v>
      </c>
      <c r="D287" s="9" t="n">
        <f aca="false">B287*Inputs!$C$8</f>
        <v>583.333333333333</v>
      </c>
      <c r="E287" s="9" t="n">
        <v>0</v>
      </c>
      <c r="F287" s="9" t="n">
        <f aca="false">B287-E287</f>
        <v>100000</v>
      </c>
    </row>
    <row r="288" customFormat="false" ht="15" hidden="false" customHeight="false" outlineLevel="0" collapsed="false">
      <c r="A288" s="0" t="n">
        <v>287</v>
      </c>
      <c r="B288" s="9" t="n">
        <f aca="false">F287</f>
        <v>100000</v>
      </c>
      <c r="C288" s="9" t="n">
        <f aca="false">D288</f>
        <v>583.333333333333</v>
      </c>
      <c r="D288" s="9" t="n">
        <f aca="false">B288*Inputs!$C$8</f>
        <v>583.333333333333</v>
      </c>
      <c r="E288" s="9" t="n">
        <v>0</v>
      </c>
      <c r="F288" s="9" t="n">
        <f aca="false">B288-E288</f>
        <v>100000</v>
      </c>
    </row>
    <row r="289" customFormat="false" ht="15" hidden="false" customHeight="false" outlineLevel="0" collapsed="false">
      <c r="A289" s="0" t="n">
        <v>288</v>
      </c>
      <c r="B289" s="9" t="n">
        <f aca="false">F288</f>
        <v>100000</v>
      </c>
      <c r="C289" s="9" t="n">
        <f aca="false">D289</f>
        <v>583.333333333333</v>
      </c>
      <c r="D289" s="9" t="n">
        <f aca="false">B289*Inputs!$C$8</f>
        <v>583.333333333333</v>
      </c>
      <c r="E289" s="9" t="n">
        <v>0</v>
      </c>
      <c r="F289" s="9" t="n">
        <f aca="false">B289-E289</f>
        <v>100000</v>
      </c>
    </row>
    <row r="290" customFormat="false" ht="15" hidden="false" customHeight="false" outlineLevel="0" collapsed="false">
      <c r="A290" s="0" t="n">
        <v>289</v>
      </c>
      <c r="B290" s="9" t="n">
        <f aca="false">F289</f>
        <v>100000</v>
      </c>
      <c r="C290" s="9" t="n">
        <f aca="false">D290</f>
        <v>583.333333333333</v>
      </c>
      <c r="D290" s="9" t="n">
        <f aca="false">B290*Inputs!$C$8</f>
        <v>583.333333333333</v>
      </c>
      <c r="E290" s="9" t="n">
        <v>0</v>
      </c>
      <c r="F290" s="9" t="n">
        <f aca="false">B290-E290</f>
        <v>100000</v>
      </c>
    </row>
    <row r="291" customFormat="false" ht="15" hidden="false" customHeight="false" outlineLevel="0" collapsed="false">
      <c r="A291" s="0" t="n">
        <v>290</v>
      </c>
      <c r="B291" s="9" t="n">
        <f aca="false">F290</f>
        <v>100000</v>
      </c>
      <c r="C291" s="9" t="n">
        <f aca="false">D291</f>
        <v>583.333333333333</v>
      </c>
      <c r="D291" s="9" t="n">
        <f aca="false">B291*Inputs!$C$8</f>
        <v>583.333333333333</v>
      </c>
      <c r="E291" s="9" t="n">
        <v>0</v>
      </c>
      <c r="F291" s="9" t="n">
        <f aca="false">B291-E291</f>
        <v>100000</v>
      </c>
    </row>
    <row r="292" customFormat="false" ht="15" hidden="false" customHeight="false" outlineLevel="0" collapsed="false">
      <c r="A292" s="0" t="n">
        <v>291</v>
      </c>
      <c r="B292" s="9" t="n">
        <f aca="false">F291</f>
        <v>100000</v>
      </c>
      <c r="C292" s="9" t="n">
        <f aca="false">D292</f>
        <v>583.333333333333</v>
      </c>
      <c r="D292" s="9" t="n">
        <f aca="false">B292*Inputs!$C$8</f>
        <v>583.333333333333</v>
      </c>
      <c r="E292" s="9" t="n">
        <v>0</v>
      </c>
      <c r="F292" s="9" t="n">
        <f aca="false">B292-E292</f>
        <v>100000</v>
      </c>
    </row>
    <row r="293" customFormat="false" ht="15" hidden="false" customHeight="false" outlineLevel="0" collapsed="false">
      <c r="A293" s="0" t="n">
        <v>292</v>
      </c>
      <c r="B293" s="9" t="n">
        <f aca="false">F292</f>
        <v>100000</v>
      </c>
      <c r="C293" s="9" t="n">
        <f aca="false">D293</f>
        <v>583.333333333333</v>
      </c>
      <c r="D293" s="9" t="n">
        <f aca="false">B293*Inputs!$C$8</f>
        <v>583.333333333333</v>
      </c>
      <c r="E293" s="9" t="n">
        <v>0</v>
      </c>
      <c r="F293" s="9" t="n">
        <f aca="false">B293-E293</f>
        <v>100000</v>
      </c>
    </row>
    <row r="294" customFormat="false" ht="15" hidden="false" customHeight="false" outlineLevel="0" collapsed="false">
      <c r="A294" s="0" t="n">
        <v>293</v>
      </c>
      <c r="B294" s="9" t="n">
        <f aca="false">F293</f>
        <v>100000</v>
      </c>
      <c r="C294" s="9" t="n">
        <f aca="false">D294</f>
        <v>583.333333333333</v>
      </c>
      <c r="D294" s="9" t="n">
        <f aca="false">B294*Inputs!$C$8</f>
        <v>583.333333333333</v>
      </c>
      <c r="E294" s="9" t="n">
        <v>0</v>
      </c>
      <c r="F294" s="9" t="n">
        <f aca="false">B294-E294</f>
        <v>100000</v>
      </c>
    </row>
    <row r="295" customFormat="false" ht="15" hidden="false" customHeight="false" outlineLevel="0" collapsed="false">
      <c r="A295" s="0" t="n">
        <v>294</v>
      </c>
      <c r="B295" s="9" t="n">
        <f aca="false">F294</f>
        <v>100000</v>
      </c>
      <c r="C295" s="9" t="n">
        <f aca="false">D295</f>
        <v>583.333333333333</v>
      </c>
      <c r="D295" s="9" t="n">
        <f aca="false">B295*Inputs!$C$8</f>
        <v>583.333333333333</v>
      </c>
      <c r="E295" s="9" t="n">
        <v>0</v>
      </c>
      <c r="F295" s="9" t="n">
        <f aca="false">B295-E295</f>
        <v>100000</v>
      </c>
    </row>
    <row r="296" customFormat="false" ht="15" hidden="false" customHeight="false" outlineLevel="0" collapsed="false">
      <c r="A296" s="0" t="n">
        <v>295</v>
      </c>
      <c r="B296" s="9" t="n">
        <f aca="false">F295</f>
        <v>100000</v>
      </c>
      <c r="C296" s="9" t="n">
        <f aca="false">D296</f>
        <v>583.333333333333</v>
      </c>
      <c r="D296" s="9" t="n">
        <f aca="false">B296*Inputs!$C$8</f>
        <v>583.333333333333</v>
      </c>
      <c r="E296" s="9" t="n">
        <v>0</v>
      </c>
      <c r="F296" s="9" t="n">
        <f aca="false">B296-E296</f>
        <v>100000</v>
      </c>
    </row>
    <row r="297" customFormat="false" ht="15" hidden="false" customHeight="false" outlineLevel="0" collapsed="false">
      <c r="A297" s="0" t="n">
        <v>296</v>
      </c>
      <c r="B297" s="9" t="n">
        <f aca="false">F296</f>
        <v>100000</v>
      </c>
      <c r="C297" s="9" t="n">
        <f aca="false">D297</f>
        <v>583.333333333333</v>
      </c>
      <c r="D297" s="9" t="n">
        <f aca="false">B297*Inputs!$C$8</f>
        <v>583.333333333333</v>
      </c>
      <c r="E297" s="9" t="n">
        <v>0</v>
      </c>
      <c r="F297" s="9" t="n">
        <f aca="false">B297-E297</f>
        <v>100000</v>
      </c>
    </row>
    <row r="298" customFormat="false" ht="15" hidden="false" customHeight="false" outlineLevel="0" collapsed="false">
      <c r="A298" s="0" t="n">
        <v>297</v>
      </c>
      <c r="B298" s="9" t="n">
        <f aca="false">F297</f>
        <v>100000</v>
      </c>
      <c r="C298" s="9" t="n">
        <f aca="false">D298</f>
        <v>583.333333333333</v>
      </c>
      <c r="D298" s="9" t="n">
        <f aca="false">B298*Inputs!$C$8</f>
        <v>583.333333333333</v>
      </c>
      <c r="E298" s="9" t="n">
        <v>0</v>
      </c>
      <c r="F298" s="9" t="n">
        <f aca="false">B298-E298</f>
        <v>100000</v>
      </c>
    </row>
    <row r="299" customFormat="false" ht="15" hidden="false" customHeight="false" outlineLevel="0" collapsed="false">
      <c r="A299" s="0" t="n">
        <v>298</v>
      </c>
      <c r="B299" s="9" t="n">
        <f aca="false">F298</f>
        <v>100000</v>
      </c>
      <c r="C299" s="9" t="n">
        <f aca="false">D299</f>
        <v>583.333333333333</v>
      </c>
      <c r="D299" s="9" t="n">
        <f aca="false">B299*Inputs!$C$8</f>
        <v>583.333333333333</v>
      </c>
      <c r="E299" s="9" t="n">
        <v>0</v>
      </c>
      <c r="F299" s="9" t="n">
        <f aca="false">B299-E299</f>
        <v>100000</v>
      </c>
    </row>
    <row r="300" customFormat="false" ht="15" hidden="false" customHeight="false" outlineLevel="0" collapsed="false">
      <c r="A300" s="0" t="n">
        <v>299</v>
      </c>
      <c r="B300" s="9" t="n">
        <f aca="false">F299</f>
        <v>100000</v>
      </c>
      <c r="C300" s="9" t="n">
        <f aca="false">D300</f>
        <v>583.333333333333</v>
      </c>
      <c r="D300" s="9" t="n">
        <f aca="false">B300*Inputs!$C$8</f>
        <v>583.333333333333</v>
      </c>
      <c r="E300" s="9" t="n">
        <v>0</v>
      </c>
      <c r="F300" s="9" t="n">
        <f aca="false">B300-E300</f>
        <v>100000</v>
      </c>
    </row>
    <row r="301" customFormat="false" ht="15" hidden="false" customHeight="false" outlineLevel="0" collapsed="false">
      <c r="A301" s="0" t="n">
        <v>300</v>
      </c>
      <c r="B301" s="9" t="n">
        <f aca="false">F300</f>
        <v>100000</v>
      </c>
      <c r="C301" s="9" t="n">
        <f aca="false">D301</f>
        <v>583.333333333333</v>
      </c>
      <c r="D301" s="9" t="n">
        <f aca="false">B301*Inputs!$C$8</f>
        <v>583.333333333333</v>
      </c>
      <c r="E301" s="9" t="n">
        <v>0</v>
      </c>
      <c r="F301" s="9" t="n">
        <f aca="false">B301-E301</f>
        <v>100000</v>
      </c>
    </row>
    <row r="302" customFormat="false" ht="15" hidden="false" customHeight="false" outlineLevel="0" collapsed="false">
      <c r="A302" s="0" t="n">
        <v>301</v>
      </c>
      <c r="B302" s="9" t="n">
        <f aca="false">F301</f>
        <v>100000</v>
      </c>
      <c r="C302" s="9" t="n">
        <f aca="false">D302</f>
        <v>583.333333333333</v>
      </c>
      <c r="D302" s="9" t="n">
        <f aca="false">B302*Inputs!$C$8</f>
        <v>583.333333333333</v>
      </c>
      <c r="E302" s="9" t="n">
        <v>0</v>
      </c>
      <c r="F302" s="9" t="n">
        <f aca="false">B302-E302</f>
        <v>100000</v>
      </c>
    </row>
    <row r="303" customFormat="false" ht="15" hidden="false" customHeight="false" outlineLevel="0" collapsed="false">
      <c r="A303" s="0" t="n">
        <v>302</v>
      </c>
      <c r="B303" s="9" t="n">
        <f aca="false">F302</f>
        <v>100000</v>
      </c>
      <c r="C303" s="9" t="n">
        <f aca="false">D303</f>
        <v>583.333333333333</v>
      </c>
      <c r="D303" s="9" t="n">
        <f aca="false">B303*Inputs!$C$8</f>
        <v>583.333333333333</v>
      </c>
      <c r="E303" s="9" t="n">
        <v>0</v>
      </c>
      <c r="F303" s="9" t="n">
        <f aca="false">B303-E303</f>
        <v>100000</v>
      </c>
    </row>
    <row r="304" customFormat="false" ht="15" hidden="false" customHeight="false" outlineLevel="0" collapsed="false">
      <c r="A304" s="0" t="n">
        <v>303</v>
      </c>
      <c r="B304" s="9" t="n">
        <f aca="false">F303</f>
        <v>100000</v>
      </c>
      <c r="C304" s="9" t="n">
        <f aca="false">D304</f>
        <v>583.333333333333</v>
      </c>
      <c r="D304" s="9" t="n">
        <f aca="false">B304*Inputs!$C$8</f>
        <v>583.333333333333</v>
      </c>
      <c r="E304" s="9" t="n">
        <v>0</v>
      </c>
      <c r="F304" s="9" t="n">
        <f aca="false">B304-E304</f>
        <v>100000</v>
      </c>
    </row>
    <row r="305" customFormat="false" ht="15" hidden="false" customHeight="false" outlineLevel="0" collapsed="false">
      <c r="A305" s="0" t="n">
        <v>304</v>
      </c>
      <c r="B305" s="9" t="n">
        <f aca="false">F304</f>
        <v>100000</v>
      </c>
      <c r="C305" s="9" t="n">
        <f aca="false">D305</f>
        <v>583.333333333333</v>
      </c>
      <c r="D305" s="9" t="n">
        <f aca="false">B305*Inputs!$C$8</f>
        <v>583.333333333333</v>
      </c>
      <c r="E305" s="9" t="n">
        <v>0</v>
      </c>
      <c r="F305" s="9" t="n">
        <f aca="false">B305-E305</f>
        <v>100000</v>
      </c>
    </row>
    <row r="306" customFormat="false" ht="15" hidden="false" customHeight="false" outlineLevel="0" collapsed="false">
      <c r="A306" s="0" t="n">
        <v>305</v>
      </c>
      <c r="B306" s="9" t="n">
        <f aca="false">F305</f>
        <v>100000</v>
      </c>
      <c r="C306" s="9" t="n">
        <f aca="false">D306</f>
        <v>583.333333333333</v>
      </c>
      <c r="D306" s="9" t="n">
        <f aca="false">B306*Inputs!$C$8</f>
        <v>583.333333333333</v>
      </c>
      <c r="E306" s="9" t="n">
        <v>0</v>
      </c>
      <c r="F306" s="9" t="n">
        <f aca="false">B306-E306</f>
        <v>100000</v>
      </c>
    </row>
    <row r="307" customFormat="false" ht="15" hidden="false" customHeight="false" outlineLevel="0" collapsed="false">
      <c r="A307" s="0" t="n">
        <v>306</v>
      </c>
      <c r="B307" s="9" t="n">
        <f aca="false">F306</f>
        <v>100000</v>
      </c>
      <c r="C307" s="9" t="n">
        <f aca="false">D307</f>
        <v>583.333333333333</v>
      </c>
      <c r="D307" s="9" t="n">
        <f aca="false">B307*Inputs!$C$8</f>
        <v>583.333333333333</v>
      </c>
      <c r="E307" s="9" t="n">
        <v>0</v>
      </c>
      <c r="F307" s="9" t="n">
        <f aca="false">B307-E307</f>
        <v>100000</v>
      </c>
    </row>
    <row r="308" customFormat="false" ht="15" hidden="false" customHeight="false" outlineLevel="0" collapsed="false">
      <c r="A308" s="0" t="n">
        <v>307</v>
      </c>
      <c r="B308" s="9" t="n">
        <f aca="false">F307</f>
        <v>100000</v>
      </c>
      <c r="C308" s="9" t="n">
        <f aca="false">D308</f>
        <v>583.333333333333</v>
      </c>
      <c r="D308" s="9" t="n">
        <f aca="false">B308*Inputs!$C$8</f>
        <v>583.333333333333</v>
      </c>
      <c r="E308" s="9" t="n">
        <v>0</v>
      </c>
      <c r="F308" s="9" t="n">
        <f aca="false">B308-E308</f>
        <v>100000</v>
      </c>
    </row>
    <row r="309" customFormat="false" ht="15" hidden="false" customHeight="false" outlineLevel="0" collapsed="false">
      <c r="A309" s="0" t="n">
        <v>308</v>
      </c>
      <c r="B309" s="9" t="n">
        <f aca="false">F308</f>
        <v>100000</v>
      </c>
      <c r="C309" s="9" t="n">
        <f aca="false">D309</f>
        <v>583.333333333333</v>
      </c>
      <c r="D309" s="9" t="n">
        <f aca="false">B309*Inputs!$C$8</f>
        <v>583.333333333333</v>
      </c>
      <c r="E309" s="9" t="n">
        <v>0</v>
      </c>
      <c r="F309" s="9" t="n">
        <f aca="false">B309-E309</f>
        <v>100000</v>
      </c>
    </row>
    <row r="310" customFormat="false" ht="15" hidden="false" customHeight="false" outlineLevel="0" collapsed="false">
      <c r="A310" s="0" t="n">
        <v>309</v>
      </c>
      <c r="B310" s="9" t="n">
        <f aca="false">F309</f>
        <v>100000</v>
      </c>
      <c r="C310" s="9" t="n">
        <f aca="false">D310</f>
        <v>583.333333333333</v>
      </c>
      <c r="D310" s="9" t="n">
        <f aca="false">B310*Inputs!$C$8</f>
        <v>583.333333333333</v>
      </c>
      <c r="E310" s="9" t="n">
        <v>0</v>
      </c>
      <c r="F310" s="9" t="n">
        <f aca="false">B310-E310</f>
        <v>100000</v>
      </c>
    </row>
    <row r="311" customFormat="false" ht="15" hidden="false" customHeight="false" outlineLevel="0" collapsed="false">
      <c r="A311" s="0" t="n">
        <v>310</v>
      </c>
      <c r="B311" s="9" t="n">
        <f aca="false">F310</f>
        <v>100000</v>
      </c>
      <c r="C311" s="9" t="n">
        <f aca="false">D311</f>
        <v>583.333333333333</v>
      </c>
      <c r="D311" s="9" t="n">
        <f aca="false">B311*Inputs!$C$8</f>
        <v>583.333333333333</v>
      </c>
      <c r="E311" s="9" t="n">
        <v>0</v>
      </c>
      <c r="F311" s="9" t="n">
        <f aca="false">B311-E311</f>
        <v>100000</v>
      </c>
    </row>
    <row r="312" customFormat="false" ht="15" hidden="false" customHeight="false" outlineLevel="0" collapsed="false">
      <c r="A312" s="0" t="n">
        <v>311</v>
      </c>
      <c r="B312" s="9" t="n">
        <f aca="false">F311</f>
        <v>100000</v>
      </c>
      <c r="C312" s="9" t="n">
        <f aca="false">D312</f>
        <v>583.333333333333</v>
      </c>
      <c r="D312" s="9" t="n">
        <f aca="false">B312*Inputs!$C$8</f>
        <v>583.333333333333</v>
      </c>
      <c r="E312" s="9" t="n">
        <v>0</v>
      </c>
      <c r="F312" s="9" t="n">
        <f aca="false">B312-E312</f>
        <v>100000</v>
      </c>
    </row>
    <row r="313" customFormat="false" ht="15" hidden="false" customHeight="false" outlineLevel="0" collapsed="false">
      <c r="A313" s="0" t="n">
        <v>312</v>
      </c>
      <c r="B313" s="9" t="n">
        <f aca="false">F312</f>
        <v>100000</v>
      </c>
      <c r="C313" s="9" t="n">
        <f aca="false">D313</f>
        <v>583.333333333333</v>
      </c>
      <c r="D313" s="9" t="n">
        <f aca="false">B313*Inputs!$C$8</f>
        <v>583.333333333333</v>
      </c>
      <c r="E313" s="9" t="n">
        <v>0</v>
      </c>
      <c r="F313" s="9" t="n">
        <f aca="false">B313-E313</f>
        <v>100000</v>
      </c>
    </row>
    <row r="314" customFormat="false" ht="15" hidden="false" customHeight="false" outlineLevel="0" collapsed="false">
      <c r="A314" s="0" t="n">
        <v>313</v>
      </c>
      <c r="B314" s="9" t="n">
        <f aca="false">F313</f>
        <v>100000</v>
      </c>
      <c r="C314" s="9" t="n">
        <f aca="false">D314</f>
        <v>583.333333333333</v>
      </c>
      <c r="D314" s="9" t="n">
        <f aca="false">B314*Inputs!$C$8</f>
        <v>583.333333333333</v>
      </c>
      <c r="E314" s="9" t="n">
        <v>0</v>
      </c>
      <c r="F314" s="9" t="n">
        <f aca="false">B314-E314</f>
        <v>100000</v>
      </c>
    </row>
    <row r="315" customFormat="false" ht="15" hidden="false" customHeight="false" outlineLevel="0" collapsed="false">
      <c r="A315" s="0" t="n">
        <v>314</v>
      </c>
      <c r="B315" s="9" t="n">
        <f aca="false">F314</f>
        <v>100000</v>
      </c>
      <c r="C315" s="9" t="n">
        <f aca="false">D315</f>
        <v>583.333333333333</v>
      </c>
      <c r="D315" s="9" t="n">
        <f aca="false">B315*Inputs!$C$8</f>
        <v>583.333333333333</v>
      </c>
      <c r="E315" s="9" t="n">
        <v>0</v>
      </c>
      <c r="F315" s="9" t="n">
        <f aca="false">B315-E315</f>
        <v>100000</v>
      </c>
    </row>
    <row r="316" customFormat="false" ht="15" hidden="false" customHeight="false" outlineLevel="0" collapsed="false">
      <c r="A316" s="0" t="n">
        <v>315</v>
      </c>
      <c r="B316" s="9" t="n">
        <f aca="false">F315</f>
        <v>100000</v>
      </c>
      <c r="C316" s="9" t="n">
        <f aca="false">D316</f>
        <v>583.333333333333</v>
      </c>
      <c r="D316" s="9" t="n">
        <f aca="false">B316*Inputs!$C$8</f>
        <v>583.333333333333</v>
      </c>
      <c r="E316" s="9" t="n">
        <v>0</v>
      </c>
      <c r="F316" s="9" t="n">
        <f aca="false">B316-E316</f>
        <v>100000</v>
      </c>
    </row>
    <row r="317" customFormat="false" ht="15" hidden="false" customHeight="false" outlineLevel="0" collapsed="false">
      <c r="A317" s="0" t="n">
        <v>316</v>
      </c>
      <c r="B317" s="9" t="n">
        <f aca="false">F316</f>
        <v>100000</v>
      </c>
      <c r="C317" s="9" t="n">
        <f aca="false">D317</f>
        <v>583.333333333333</v>
      </c>
      <c r="D317" s="9" t="n">
        <f aca="false">B317*Inputs!$C$8</f>
        <v>583.333333333333</v>
      </c>
      <c r="E317" s="9" t="n">
        <v>0</v>
      </c>
      <c r="F317" s="9" t="n">
        <f aca="false">B317-E317</f>
        <v>100000</v>
      </c>
    </row>
    <row r="318" customFormat="false" ht="15" hidden="false" customHeight="false" outlineLevel="0" collapsed="false">
      <c r="A318" s="0" t="n">
        <v>317</v>
      </c>
      <c r="B318" s="9" t="n">
        <f aca="false">F317</f>
        <v>100000</v>
      </c>
      <c r="C318" s="9" t="n">
        <f aca="false">D318</f>
        <v>583.333333333333</v>
      </c>
      <c r="D318" s="9" t="n">
        <f aca="false">B318*Inputs!$C$8</f>
        <v>583.333333333333</v>
      </c>
      <c r="E318" s="9" t="n">
        <v>0</v>
      </c>
      <c r="F318" s="9" t="n">
        <f aca="false">B318-E318</f>
        <v>100000</v>
      </c>
    </row>
    <row r="319" customFormat="false" ht="15" hidden="false" customHeight="false" outlineLevel="0" collapsed="false">
      <c r="A319" s="0" t="n">
        <v>318</v>
      </c>
      <c r="B319" s="9" t="n">
        <f aca="false">F318</f>
        <v>100000</v>
      </c>
      <c r="C319" s="9" t="n">
        <f aca="false">D319</f>
        <v>583.333333333333</v>
      </c>
      <c r="D319" s="9" t="n">
        <f aca="false">B319*Inputs!$C$8</f>
        <v>583.333333333333</v>
      </c>
      <c r="E319" s="9" t="n">
        <v>0</v>
      </c>
      <c r="F319" s="9" t="n">
        <f aca="false">B319-E319</f>
        <v>100000</v>
      </c>
    </row>
    <row r="320" customFormat="false" ht="15" hidden="false" customHeight="false" outlineLevel="0" collapsed="false">
      <c r="A320" s="0" t="n">
        <v>319</v>
      </c>
      <c r="B320" s="9" t="n">
        <f aca="false">F319</f>
        <v>100000</v>
      </c>
      <c r="C320" s="9" t="n">
        <f aca="false">D320</f>
        <v>583.333333333333</v>
      </c>
      <c r="D320" s="9" t="n">
        <f aca="false">B320*Inputs!$C$8</f>
        <v>583.333333333333</v>
      </c>
      <c r="E320" s="9" t="n">
        <v>0</v>
      </c>
      <c r="F320" s="9" t="n">
        <f aca="false">B320-E320</f>
        <v>100000</v>
      </c>
    </row>
    <row r="321" customFormat="false" ht="15" hidden="false" customHeight="false" outlineLevel="0" collapsed="false">
      <c r="A321" s="0" t="n">
        <v>320</v>
      </c>
      <c r="B321" s="9" t="n">
        <f aca="false">F320</f>
        <v>100000</v>
      </c>
      <c r="C321" s="9" t="n">
        <f aca="false">D321</f>
        <v>583.333333333333</v>
      </c>
      <c r="D321" s="9" t="n">
        <f aca="false">B321*Inputs!$C$8</f>
        <v>583.333333333333</v>
      </c>
      <c r="E321" s="9" t="n">
        <v>0</v>
      </c>
      <c r="F321" s="9" t="n">
        <f aca="false">B321-E321</f>
        <v>100000</v>
      </c>
    </row>
    <row r="322" customFormat="false" ht="15" hidden="false" customHeight="false" outlineLevel="0" collapsed="false">
      <c r="A322" s="0" t="n">
        <v>321</v>
      </c>
      <c r="B322" s="9" t="n">
        <f aca="false">F321</f>
        <v>100000</v>
      </c>
      <c r="C322" s="9" t="n">
        <f aca="false">D322</f>
        <v>583.333333333333</v>
      </c>
      <c r="D322" s="9" t="n">
        <f aca="false">B322*Inputs!$C$8</f>
        <v>583.333333333333</v>
      </c>
      <c r="E322" s="9" t="n">
        <v>0</v>
      </c>
      <c r="F322" s="9" t="n">
        <f aca="false">B322-E322</f>
        <v>100000</v>
      </c>
    </row>
    <row r="323" customFormat="false" ht="15" hidden="false" customHeight="false" outlineLevel="0" collapsed="false">
      <c r="A323" s="0" t="n">
        <v>322</v>
      </c>
      <c r="B323" s="9" t="n">
        <f aca="false">F322</f>
        <v>100000</v>
      </c>
      <c r="C323" s="9" t="n">
        <f aca="false">D323</f>
        <v>583.333333333333</v>
      </c>
      <c r="D323" s="9" t="n">
        <f aca="false">B323*Inputs!$C$8</f>
        <v>583.333333333333</v>
      </c>
      <c r="E323" s="9" t="n">
        <v>0</v>
      </c>
      <c r="F323" s="9" t="n">
        <f aca="false">B323-E323</f>
        <v>100000</v>
      </c>
    </row>
    <row r="324" customFormat="false" ht="15" hidden="false" customHeight="false" outlineLevel="0" collapsed="false">
      <c r="A324" s="0" t="n">
        <v>323</v>
      </c>
      <c r="B324" s="9" t="n">
        <f aca="false">F323</f>
        <v>100000</v>
      </c>
      <c r="C324" s="9" t="n">
        <f aca="false">D324</f>
        <v>583.333333333333</v>
      </c>
      <c r="D324" s="9" t="n">
        <f aca="false">B324*Inputs!$C$8</f>
        <v>583.333333333333</v>
      </c>
      <c r="E324" s="9" t="n">
        <v>0</v>
      </c>
      <c r="F324" s="9" t="n">
        <f aca="false">B324-E324</f>
        <v>100000</v>
      </c>
    </row>
    <row r="325" customFormat="false" ht="15" hidden="false" customHeight="false" outlineLevel="0" collapsed="false">
      <c r="A325" s="0" t="n">
        <v>324</v>
      </c>
      <c r="B325" s="9" t="n">
        <f aca="false">F324</f>
        <v>100000</v>
      </c>
      <c r="C325" s="9" t="n">
        <f aca="false">D325</f>
        <v>583.333333333333</v>
      </c>
      <c r="D325" s="9" t="n">
        <f aca="false">B325*Inputs!$C$8</f>
        <v>583.333333333333</v>
      </c>
      <c r="E325" s="9" t="n">
        <v>0</v>
      </c>
      <c r="F325" s="9" t="n">
        <f aca="false">B325-E325</f>
        <v>100000</v>
      </c>
    </row>
    <row r="326" customFormat="false" ht="15" hidden="false" customHeight="false" outlineLevel="0" collapsed="false">
      <c r="A326" s="0" t="n">
        <v>325</v>
      </c>
      <c r="B326" s="9" t="n">
        <f aca="false">F325</f>
        <v>100000</v>
      </c>
      <c r="C326" s="9" t="n">
        <f aca="false">D326</f>
        <v>583.333333333333</v>
      </c>
      <c r="D326" s="9" t="n">
        <f aca="false">B326*Inputs!$C$8</f>
        <v>583.333333333333</v>
      </c>
      <c r="E326" s="9" t="n">
        <v>0</v>
      </c>
      <c r="F326" s="9" t="n">
        <f aca="false">B326-E326</f>
        <v>100000</v>
      </c>
    </row>
    <row r="327" customFormat="false" ht="15" hidden="false" customHeight="false" outlineLevel="0" collapsed="false">
      <c r="A327" s="0" t="n">
        <v>326</v>
      </c>
      <c r="B327" s="9" t="n">
        <f aca="false">F326</f>
        <v>100000</v>
      </c>
      <c r="C327" s="9" t="n">
        <f aca="false">D327</f>
        <v>583.333333333333</v>
      </c>
      <c r="D327" s="9" t="n">
        <f aca="false">B327*Inputs!$C$8</f>
        <v>583.333333333333</v>
      </c>
      <c r="E327" s="9" t="n">
        <v>0</v>
      </c>
      <c r="F327" s="9" t="n">
        <f aca="false">B327-E327</f>
        <v>100000</v>
      </c>
    </row>
    <row r="328" customFormat="false" ht="15" hidden="false" customHeight="false" outlineLevel="0" collapsed="false">
      <c r="A328" s="0" t="n">
        <v>327</v>
      </c>
      <c r="B328" s="9" t="n">
        <f aca="false">F327</f>
        <v>100000</v>
      </c>
      <c r="C328" s="9" t="n">
        <f aca="false">D328</f>
        <v>583.333333333333</v>
      </c>
      <c r="D328" s="9" t="n">
        <f aca="false">B328*Inputs!$C$8</f>
        <v>583.333333333333</v>
      </c>
      <c r="E328" s="9" t="n">
        <v>0</v>
      </c>
      <c r="F328" s="9" t="n">
        <f aca="false">B328-E328</f>
        <v>100000</v>
      </c>
    </row>
    <row r="329" customFormat="false" ht="15" hidden="false" customHeight="false" outlineLevel="0" collapsed="false">
      <c r="A329" s="0" t="n">
        <v>328</v>
      </c>
      <c r="B329" s="9" t="n">
        <f aca="false">F328</f>
        <v>100000</v>
      </c>
      <c r="C329" s="9" t="n">
        <f aca="false">D329</f>
        <v>583.333333333333</v>
      </c>
      <c r="D329" s="9" t="n">
        <f aca="false">B329*Inputs!$C$8</f>
        <v>583.333333333333</v>
      </c>
      <c r="E329" s="9" t="n">
        <v>0</v>
      </c>
      <c r="F329" s="9" t="n">
        <f aca="false">B329-E329</f>
        <v>100000</v>
      </c>
    </row>
    <row r="330" customFormat="false" ht="15" hidden="false" customHeight="false" outlineLevel="0" collapsed="false">
      <c r="A330" s="0" t="n">
        <v>329</v>
      </c>
      <c r="B330" s="9" t="n">
        <f aca="false">F329</f>
        <v>100000</v>
      </c>
      <c r="C330" s="9" t="n">
        <f aca="false">D330</f>
        <v>583.333333333333</v>
      </c>
      <c r="D330" s="9" t="n">
        <f aca="false">B330*Inputs!$C$8</f>
        <v>583.333333333333</v>
      </c>
      <c r="E330" s="9" t="n">
        <v>0</v>
      </c>
      <c r="F330" s="9" t="n">
        <f aca="false">B330-E330</f>
        <v>100000</v>
      </c>
    </row>
    <row r="331" customFormat="false" ht="15" hidden="false" customHeight="false" outlineLevel="0" collapsed="false">
      <c r="A331" s="0" t="n">
        <v>330</v>
      </c>
      <c r="B331" s="9" t="n">
        <f aca="false">F330</f>
        <v>100000</v>
      </c>
      <c r="C331" s="9" t="n">
        <f aca="false">D331</f>
        <v>583.333333333333</v>
      </c>
      <c r="D331" s="9" t="n">
        <f aca="false">B331*Inputs!$C$8</f>
        <v>583.333333333333</v>
      </c>
      <c r="E331" s="9" t="n">
        <v>0</v>
      </c>
      <c r="F331" s="9" t="n">
        <f aca="false">B331-E331</f>
        <v>100000</v>
      </c>
    </row>
    <row r="332" customFormat="false" ht="15" hidden="false" customHeight="false" outlineLevel="0" collapsed="false">
      <c r="A332" s="0" t="n">
        <v>331</v>
      </c>
      <c r="B332" s="9" t="n">
        <f aca="false">F331</f>
        <v>100000</v>
      </c>
      <c r="C332" s="9" t="n">
        <f aca="false">D332</f>
        <v>583.333333333333</v>
      </c>
      <c r="D332" s="9" t="n">
        <f aca="false">B332*Inputs!$C$8</f>
        <v>583.333333333333</v>
      </c>
      <c r="E332" s="9" t="n">
        <v>0</v>
      </c>
      <c r="F332" s="9" t="n">
        <f aca="false">B332-E332</f>
        <v>100000</v>
      </c>
    </row>
    <row r="333" customFormat="false" ht="15" hidden="false" customHeight="false" outlineLevel="0" collapsed="false">
      <c r="A333" s="0" t="n">
        <v>332</v>
      </c>
      <c r="B333" s="9" t="n">
        <f aca="false">F332</f>
        <v>100000</v>
      </c>
      <c r="C333" s="9" t="n">
        <f aca="false">D333</f>
        <v>583.333333333333</v>
      </c>
      <c r="D333" s="9" t="n">
        <f aca="false">B333*Inputs!$C$8</f>
        <v>583.333333333333</v>
      </c>
      <c r="E333" s="9" t="n">
        <v>0</v>
      </c>
      <c r="F333" s="9" t="n">
        <f aca="false">B333-E333</f>
        <v>100000</v>
      </c>
    </row>
    <row r="334" customFormat="false" ht="15" hidden="false" customHeight="false" outlineLevel="0" collapsed="false">
      <c r="A334" s="0" t="n">
        <v>333</v>
      </c>
      <c r="B334" s="9" t="n">
        <f aca="false">F333</f>
        <v>100000</v>
      </c>
      <c r="C334" s="9" t="n">
        <f aca="false">D334</f>
        <v>583.333333333333</v>
      </c>
      <c r="D334" s="9" t="n">
        <f aca="false">B334*Inputs!$C$8</f>
        <v>583.333333333333</v>
      </c>
      <c r="E334" s="9" t="n">
        <v>0</v>
      </c>
      <c r="F334" s="9" t="n">
        <f aca="false">B334-E334</f>
        <v>100000</v>
      </c>
    </row>
    <row r="335" customFormat="false" ht="15" hidden="false" customHeight="false" outlineLevel="0" collapsed="false">
      <c r="A335" s="0" t="n">
        <v>334</v>
      </c>
      <c r="B335" s="9" t="n">
        <f aca="false">F334</f>
        <v>100000</v>
      </c>
      <c r="C335" s="9" t="n">
        <f aca="false">D335</f>
        <v>583.333333333333</v>
      </c>
      <c r="D335" s="9" t="n">
        <f aca="false">B335*Inputs!$C$8</f>
        <v>583.333333333333</v>
      </c>
      <c r="E335" s="9" t="n">
        <v>0</v>
      </c>
      <c r="F335" s="9" t="n">
        <f aca="false">B335-E335</f>
        <v>100000</v>
      </c>
    </row>
    <row r="336" customFormat="false" ht="15" hidden="false" customHeight="false" outlineLevel="0" collapsed="false">
      <c r="A336" s="0" t="n">
        <v>335</v>
      </c>
      <c r="B336" s="9" t="n">
        <f aca="false">F335</f>
        <v>100000</v>
      </c>
      <c r="C336" s="9" t="n">
        <f aca="false">D336</f>
        <v>583.333333333333</v>
      </c>
      <c r="D336" s="9" t="n">
        <f aca="false">B336*Inputs!$C$8</f>
        <v>583.333333333333</v>
      </c>
      <c r="E336" s="9" t="n">
        <v>0</v>
      </c>
      <c r="F336" s="9" t="n">
        <f aca="false">B336-E336</f>
        <v>100000</v>
      </c>
    </row>
    <row r="337" customFormat="false" ht="15" hidden="false" customHeight="false" outlineLevel="0" collapsed="false">
      <c r="A337" s="0" t="n">
        <v>336</v>
      </c>
      <c r="B337" s="9" t="n">
        <f aca="false">F336</f>
        <v>100000</v>
      </c>
      <c r="C337" s="9" t="n">
        <f aca="false">D337</f>
        <v>583.333333333333</v>
      </c>
      <c r="D337" s="9" t="n">
        <f aca="false">B337*Inputs!$C$8</f>
        <v>583.333333333333</v>
      </c>
      <c r="E337" s="9" t="n">
        <v>0</v>
      </c>
      <c r="F337" s="9" t="n">
        <f aca="false">B337-E337</f>
        <v>100000</v>
      </c>
    </row>
    <row r="338" customFormat="false" ht="15" hidden="false" customHeight="false" outlineLevel="0" collapsed="false">
      <c r="A338" s="0" t="n">
        <v>337</v>
      </c>
      <c r="B338" s="9" t="n">
        <f aca="false">F337</f>
        <v>100000</v>
      </c>
      <c r="C338" s="9" t="n">
        <f aca="false">D338</f>
        <v>583.333333333333</v>
      </c>
      <c r="D338" s="9" t="n">
        <f aca="false">B338*Inputs!$C$8</f>
        <v>583.333333333333</v>
      </c>
      <c r="E338" s="9" t="n">
        <v>0</v>
      </c>
      <c r="F338" s="9" t="n">
        <f aca="false">B338-E338</f>
        <v>100000</v>
      </c>
    </row>
    <row r="339" customFormat="false" ht="15" hidden="false" customHeight="false" outlineLevel="0" collapsed="false">
      <c r="A339" s="0" t="n">
        <v>338</v>
      </c>
      <c r="B339" s="9" t="n">
        <f aca="false">F338</f>
        <v>100000</v>
      </c>
      <c r="C339" s="9" t="n">
        <f aca="false">D339</f>
        <v>583.333333333333</v>
      </c>
      <c r="D339" s="9" t="n">
        <f aca="false">B339*Inputs!$C$8</f>
        <v>583.333333333333</v>
      </c>
      <c r="E339" s="9" t="n">
        <v>0</v>
      </c>
      <c r="F339" s="9" t="n">
        <f aca="false">B339-E339</f>
        <v>100000</v>
      </c>
    </row>
    <row r="340" customFormat="false" ht="15" hidden="false" customHeight="false" outlineLevel="0" collapsed="false">
      <c r="A340" s="0" t="n">
        <v>339</v>
      </c>
      <c r="B340" s="9" t="n">
        <f aca="false">F339</f>
        <v>100000</v>
      </c>
      <c r="C340" s="9" t="n">
        <f aca="false">D340</f>
        <v>583.333333333333</v>
      </c>
      <c r="D340" s="9" t="n">
        <f aca="false">B340*Inputs!$C$8</f>
        <v>583.333333333333</v>
      </c>
      <c r="E340" s="9" t="n">
        <v>0</v>
      </c>
      <c r="F340" s="9" t="n">
        <f aca="false">B340-E340</f>
        <v>100000</v>
      </c>
    </row>
    <row r="341" customFormat="false" ht="15" hidden="false" customHeight="false" outlineLevel="0" collapsed="false">
      <c r="A341" s="0" t="n">
        <v>340</v>
      </c>
      <c r="B341" s="9" t="n">
        <f aca="false">F340</f>
        <v>100000</v>
      </c>
      <c r="C341" s="9" t="n">
        <f aca="false">D341</f>
        <v>583.333333333333</v>
      </c>
      <c r="D341" s="9" t="n">
        <f aca="false">B341*Inputs!$C$8</f>
        <v>583.333333333333</v>
      </c>
      <c r="E341" s="9" t="n">
        <v>0</v>
      </c>
      <c r="F341" s="9" t="n">
        <f aca="false">B341-E341</f>
        <v>100000</v>
      </c>
    </row>
    <row r="342" customFormat="false" ht="15" hidden="false" customHeight="false" outlineLevel="0" collapsed="false">
      <c r="A342" s="0" t="n">
        <v>341</v>
      </c>
      <c r="B342" s="9" t="n">
        <f aca="false">F341</f>
        <v>100000</v>
      </c>
      <c r="C342" s="9" t="n">
        <f aca="false">D342</f>
        <v>583.333333333333</v>
      </c>
      <c r="D342" s="9" t="n">
        <f aca="false">B342*Inputs!$C$8</f>
        <v>583.333333333333</v>
      </c>
      <c r="E342" s="9" t="n">
        <v>0</v>
      </c>
      <c r="F342" s="9" t="n">
        <f aca="false">B342-E342</f>
        <v>100000</v>
      </c>
    </row>
    <row r="343" customFormat="false" ht="15" hidden="false" customHeight="false" outlineLevel="0" collapsed="false">
      <c r="A343" s="0" t="n">
        <v>342</v>
      </c>
      <c r="B343" s="9" t="n">
        <f aca="false">F342</f>
        <v>100000</v>
      </c>
      <c r="C343" s="9" t="n">
        <f aca="false">D343</f>
        <v>583.333333333333</v>
      </c>
      <c r="D343" s="9" t="n">
        <f aca="false">B343*Inputs!$C$8</f>
        <v>583.333333333333</v>
      </c>
      <c r="E343" s="9" t="n">
        <v>0</v>
      </c>
      <c r="F343" s="9" t="n">
        <f aca="false">B343-E343</f>
        <v>100000</v>
      </c>
    </row>
    <row r="344" customFormat="false" ht="15" hidden="false" customHeight="false" outlineLevel="0" collapsed="false">
      <c r="A344" s="0" t="n">
        <v>343</v>
      </c>
      <c r="B344" s="9" t="n">
        <f aca="false">F343</f>
        <v>100000</v>
      </c>
      <c r="C344" s="9" t="n">
        <f aca="false">D344</f>
        <v>583.333333333333</v>
      </c>
      <c r="D344" s="9" t="n">
        <f aca="false">B344*Inputs!$C$8</f>
        <v>583.333333333333</v>
      </c>
      <c r="E344" s="9" t="n">
        <v>0</v>
      </c>
      <c r="F344" s="9" t="n">
        <f aca="false">B344-E344</f>
        <v>100000</v>
      </c>
    </row>
    <row r="345" customFormat="false" ht="15" hidden="false" customHeight="false" outlineLevel="0" collapsed="false">
      <c r="A345" s="0" t="n">
        <v>344</v>
      </c>
      <c r="B345" s="9" t="n">
        <f aca="false">F344</f>
        <v>100000</v>
      </c>
      <c r="C345" s="9" t="n">
        <f aca="false">D345</f>
        <v>583.333333333333</v>
      </c>
      <c r="D345" s="9" t="n">
        <f aca="false">B345*Inputs!$C$8</f>
        <v>583.333333333333</v>
      </c>
      <c r="E345" s="9" t="n">
        <v>0</v>
      </c>
      <c r="F345" s="9" t="n">
        <f aca="false">B345-E345</f>
        <v>100000</v>
      </c>
    </row>
    <row r="346" customFormat="false" ht="15" hidden="false" customHeight="false" outlineLevel="0" collapsed="false">
      <c r="A346" s="0" t="n">
        <v>345</v>
      </c>
      <c r="B346" s="9" t="n">
        <f aca="false">F345</f>
        <v>100000</v>
      </c>
      <c r="C346" s="9" t="n">
        <f aca="false">D346</f>
        <v>583.333333333333</v>
      </c>
      <c r="D346" s="9" t="n">
        <f aca="false">B346*Inputs!$C$8</f>
        <v>583.333333333333</v>
      </c>
      <c r="E346" s="9" t="n">
        <v>0</v>
      </c>
      <c r="F346" s="9" t="n">
        <f aca="false">B346-E346</f>
        <v>100000</v>
      </c>
    </row>
    <row r="347" customFormat="false" ht="15" hidden="false" customHeight="false" outlineLevel="0" collapsed="false">
      <c r="A347" s="0" t="n">
        <v>346</v>
      </c>
      <c r="B347" s="9" t="n">
        <f aca="false">F346</f>
        <v>100000</v>
      </c>
      <c r="C347" s="9" t="n">
        <f aca="false">D347</f>
        <v>583.333333333333</v>
      </c>
      <c r="D347" s="9" t="n">
        <f aca="false">B347*Inputs!$C$8</f>
        <v>583.333333333333</v>
      </c>
      <c r="E347" s="9" t="n">
        <v>0</v>
      </c>
      <c r="F347" s="9" t="n">
        <f aca="false">B347-E347</f>
        <v>100000</v>
      </c>
    </row>
    <row r="348" customFormat="false" ht="15" hidden="false" customHeight="false" outlineLevel="0" collapsed="false">
      <c r="A348" s="0" t="n">
        <v>347</v>
      </c>
      <c r="B348" s="9" t="n">
        <f aca="false">F347</f>
        <v>100000</v>
      </c>
      <c r="C348" s="9" t="n">
        <f aca="false">D348</f>
        <v>583.333333333333</v>
      </c>
      <c r="D348" s="9" t="n">
        <f aca="false">B348*Inputs!$C$8</f>
        <v>583.333333333333</v>
      </c>
      <c r="E348" s="9" t="n">
        <v>0</v>
      </c>
      <c r="F348" s="9" t="n">
        <f aca="false">B348-E348</f>
        <v>100000</v>
      </c>
    </row>
    <row r="349" customFormat="false" ht="15" hidden="false" customHeight="false" outlineLevel="0" collapsed="false">
      <c r="A349" s="0" t="n">
        <v>348</v>
      </c>
      <c r="B349" s="9" t="n">
        <f aca="false">F348</f>
        <v>100000</v>
      </c>
      <c r="C349" s="9" t="n">
        <f aca="false">D349</f>
        <v>583.333333333333</v>
      </c>
      <c r="D349" s="9" t="n">
        <f aca="false">B349*Inputs!$C$8</f>
        <v>583.333333333333</v>
      </c>
      <c r="E349" s="9" t="n">
        <v>0</v>
      </c>
      <c r="F349" s="9" t="n">
        <f aca="false">B349-E349</f>
        <v>100000</v>
      </c>
    </row>
    <row r="350" customFormat="false" ht="15" hidden="false" customHeight="false" outlineLevel="0" collapsed="false">
      <c r="A350" s="0" t="n">
        <v>349</v>
      </c>
      <c r="B350" s="9" t="n">
        <f aca="false">F349</f>
        <v>100000</v>
      </c>
      <c r="C350" s="9" t="n">
        <f aca="false">D350</f>
        <v>583.333333333333</v>
      </c>
      <c r="D350" s="9" t="n">
        <f aca="false">B350*Inputs!$C$8</f>
        <v>583.333333333333</v>
      </c>
      <c r="E350" s="9" t="n">
        <v>0</v>
      </c>
      <c r="F350" s="9" t="n">
        <f aca="false">B350-E350</f>
        <v>100000</v>
      </c>
    </row>
    <row r="351" customFormat="false" ht="15" hidden="false" customHeight="false" outlineLevel="0" collapsed="false">
      <c r="A351" s="0" t="n">
        <v>350</v>
      </c>
      <c r="B351" s="9" t="n">
        <f aca="false">F350</f>
        <v>100000</v>
      </c>
      <c r="C351" s="9" t="n">
        <f aca="false">D351</f>
        <v>583.333333333333</v>
      </c>
      <c r="D351" s="9" t="n">
        <f aca="false">B351*Inputs!$C$8</f>
        <v>583.333333333333</v>
      </c>
      <c r="E351" s="9" t="n">
        <v>0</v>
      </c>
      <c r="F351" s="9" t="n">
        <f aca="false">B351-E351</f>
        <v>100000</v>
      </c>
    </row>
    <row r="352" customFormat="false" ht="15" hidden="false" customHeight="false" outlineLevel="0" collapsed="false">
      <c r="A352" s="0" t="n">
        <v>351</v>
      </c>
      <c r="B352" s="9" t="n">
        <f aca="false">F351</f>
        <v>100000</v>
      </c>
      <c r="C352" s="9" t="n">
        <f aca="false">D352</f>
        <v>583.333333333333</v>
      </c>
      <c r="D352" s="9" t="n">
        <f aca="false">B352*Inputs!$C$8</f>
        <v>583.333333333333</v>
      </c>
      <c r="E352" s="9" t="n">
        <v>0</v>
      </c>
      <c r="F352" s="9" t="n">
        <f aca="false">B352-E352</f>
        <v>100000</v>
      </c>
    </row>
    <row r="353" customFormat="false" ht="15" hidden="false" customHeight="false" outlineLevel="0" collapsed="false">
      <c r="A353" s="0" t="n">
        <v>352</v>
      </c>
      <c r="B353" s="9" t="n">
        <f aca="false">F352</f>
        <v>100000</v>
      </c>
      <c r="C353" s="9" t="n">
        <f aca="false">D353</f>
        <v>583.333333333333</v>
      </c>
      <c r="D353" s="9" t="n">
        <f aca="false">B353*Inputs!$C$8</f>
        <v>583.333333333333</v>
      </c>
      <c r="E353" s="9" t="n">
        <v>0</v>
      </c>
      <c r="F353" s="9" t="n">
        <f aca="false">B353-E353</f>
        <v>100000</v>
      </c>
    </row>
    <row r="354" customFormat="false" ht="15" hidden="false" customHeight="false" outlineLevel="0" collapsed="false">
      <c r="A354" s="0" t="n">
        <v>353</v>
      </c>
      <c r="B354" s="9" t="n">
        <f aca="false">F353</f>
        <v>100000</v>
      </c>
      <c r="C354" s="9" t="n">
        <f aca="false">D354</f>
        <v>583.333333333333</v>
      </c>
      <c r="D354" s="9" t="n">
        <f aca="false">B354*Inputs!$C$8</f>
        <v>583.333333333333</v>
      </c>
      <c r="E354" s="9" t="n">
        <v>0</v>
      </c>
      <c r="F354" s="9" t="n">
        <f aca="false">B354-E354</f>
        <v>100000</v>
      </c>
    </row>
    <row r="355" customFormat="false" ht="15" hidden="false" customHeight="false" outlineLevel="0" collapsed="false">
      <c r="A355" s="0" t="n">
        <v>354</v>
      </c>
      <c r="B355" s="9" t="n">
        <f aca="false">F354</f>
        <v>100000</v>
      </c>
      <c r="C355" s="9" t="n">
        <f aca="false">D355</f>
        <v>583.333333333333</v>
      </c>
      <c r="D355" s="9" t="n">
        <f aca="false">B355*Inputs!$C$8</f>
        <v>583.333333333333</v>
      </c>
      <c r="E355" s="9" t="n">
        <v>0</v>
      </c>
      <c r="F355" s="9" t="n">
        <f aca="false">B355-E355</f>
        <v>100000</v>
      </c>
    </row>
    <row r="356" customFormat="false" ht="15" hidden="false" customHeight="false" outlineLevel="0" collapsed="false">
      <c r="A356" s="0" t="n">
        <v>355</v>
      </c>
      <c r="B356" s="9" t="n">
        <f aca="false">F355</f>
        <v>100000</v>
      </c>
      <c r="C356" s="9" t="n">
        <f aca="false">D356</f>
        <v>583.333333333333</v>
      </c>
      <c r="D356" s="9" t="n">
        <f aca="false">B356*Inputs!$C$8</f>
        <v>583.333333333333</v>
      </c>
      <c r="E356" s="9" t="n">
        <v>0</v>
      </c>
      <c r="F356" s="9" t="n">
        <f aca="false">B356-E356</f>
        <v>100000</v>
      </c>
    </row>
    <row r="357" customFormat="false" ht="15" hidden="false" customHeight="false" outlineLevel="0" collapsed="false">
      <c r="A357" s="0" t="n">
        <v>356</v>
      </c>
      <c r="B357" s="9" t="n">
        <f aca="false">F356</f>
        <v>100000</v>
      </c>
      <c r="C357" s="9" t="n">
        <f aca="false">D357</f>
        <v>583.333333333333</v>
      </c>
      <c r="D357" s="9" t="n">
        <f aca="false">B357*Inputs!$C$8</f>
        <v>583.333333333333</v>
      </c>
      <c r="E357" s="9" t="n">
        <v>0</v>
      </c>
      <c r="F357" s="9" t="n">
        <f aca="false">B357-E357</f>
        <v>100000</v>
      </c>
    </row>
    <row r="358" customFormat="false" ht="15" hidden="false" customHeight="false" outlineLevel="0" collapsed="false">
      <c r="A358" s="0" t="n">
        <v>357</v>
      </c>
      <c r="B358" s="9" t="n">
        <f aca="false">F357</f>
        <v>100000</v>
      </c>
      <c r="C358" s="9" t="n">
        <f aca="false">D358</f>
        <v>583.333333333333</v>
      </c>
      <c r="D358" s="9" t="n">
        <f aca="false">B358*Inputs!$C$8</f>
        <v>583.333333333333</v>
      </c>
      <c r="E358" s="9" t="n">
        <v>0</v>
      </c>
      <c r="F358" s="9" t="n">
        <f aca="false">B358-E358</f>
        <v>100000</v>
      </c>
    </row>
    <row r="359" customFormat="false" ht="15" hidden="false" customHeight="false" outlineLevel="0" collapsed="false">
      <c r="A359" s="0" t="n">
        <v>358</v>
      </c>
      <c r="B359" s="9" t="n">
        <f aca="false">F358</f>
        <v>100000</v>
      </c>
      <c r="C359" s="9" t="n">
        <f aca="false">D359</f>
        <v>583.333333333333</v>
      </c>
      <c r="D359" s="9" t="n">
        <f aca="false">B359*Inputs!$C$8</f>
        <v>583.333333333333</v>
      </c>
      <c r="E359" s="9" t="n">
        <v>0</v>
      </c>
      <c r="F359" s="9" t="n">
        <f aca="false">B359-E359</f>
        <v>100000</v>
      </c>
    </row>
    <row r="360" customFormat="false" ht="15" hidden="false" customHeight="false" outlineLevel="0" collapsed="false">
      <c r="A360" s="0" t="n">
        <v>359</v>
      </c>
      <c r="B360" s="9" t="n">
        <f aca="false">F359</f>
        <v>100000</v>
      </c>
      <c r="C360" s="9" t="n">
        <f aca="false">D360</f>
        <v>583.333333333333</v>
      </c>
      <c r="D360" s="9" t="n">
        <f aca="false">B360*Inputs!$C$8</f>
        <v>583.333333333333</v>
      </c>
      <c r="E360" s="9" t="n">
        <v>0</v>
      </c>
      <c r="F360" s="9" t="n">
        <f aca="false">B360-E360</f>
        <v>100000</v>
      </c>
    </row>
    <row r="361" customFormat="false" ht="15" hidden="false" customHeight="false" outlineLevel="0" collapsed="false">
      <c r="A361" s="0" t="n">
        <v>360</v>
      </c>
      <c r="B361" s="9" t="n">
        <f aca="false">F360</f>
        <v>100000</v>
      </c>
      <c r="C361" s="9" t="n">
        <f aca="false">D361+E361</f>
        <v>100583.333333333</v>
      </c>
      <c r="D361" s="9" t="n">
        <f aca="false">B361*Inputs!$C$8</f>
        <v>583.333333333333</v>
      </c>
      <c r="E361" s="9" t="n">
        <f aca="false">B361</f>
        <v>100000</v>
      </c>
      <c r="F361" s="9" t="n">
        <f aca="false">B361-E361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</row>
    <row r="2" customFormat="false" ht="15" hidden="false" customHeight="false" outlineLevel="0" collapsed="false">
      <c r="A2" s="0" t="n">
        <v>1</v>
      </c>
      <c r="B2" s="9" t="n">
        <f aca="false">Inputs!$C$5</f>
        <v>100000</v>
      </c>
      <c r="C2" s="9" t="n">
        <f aca="false">-PMT(Inputs!$C$8,Inputs!$C$9,Inputs!$C$5)</f>
        <v>665.302495179183</v>
      </c>
      <c r="D2" s="9" t="n">
        <f aca="false">B2*Inputs!$C$8</f>
        <v>583.333333333333</v>
      </c>
      <c r="E2" s="9" t="n">
        <f aca="false">C2-D2</f>
        <v>81.9691618458498</v>
      </c>
      <c r="F2" s="9" t="n">
        <f aca="false">B2-E2</f>
        <v>99918.0308381542</v>
      </c>
    </row>
    <row r="3" customFormat="false" ht="15" hidden="false" customHeight="false" outlineLevel="0" collapsed="false">
      <c r="A3" s="0" t="n">
        <v>2</v>
      </c>
      <c r="B3" s="9" t="n">
        <f aca="false">F2</f>
        <v>99918.0308381542</v>
      </c>
      <c r="C3" s="9" t="n">
        <f aca="false">-PMT(Inputs!$C$8,Inputs!$C$9,Inputs!$C$5)</f>
        <v>665.302495179183</v>
      </c>
      <c r="D3" s="9" t="n">
        <f aca="false">B3*Inputs!$C$8</f>
        <v>582.855179889233</v>
      </c>
      <c r="E3" s="9" t="n">
        <f aca="false">C3-D3</f>
        <v>82.4473152899507</v>
      </c>
      <c r="F3" s="9" t="n">
        <f aca="false">B3-E3</f>
        <v>99835.5835228642</v>
      </c>
    </row>
    <row r="4" customFormat="false" ht="15" hidden="false" customHeight="false" outlineLevel="0" collapsed="false">
      <c r="A4" s="0" t="n">
        <v>3</v>
      </c>
      <c r="B4" s="9" t="n">
        <f aca="false">F3</f>
        <v>99835.5835228642</v>
      </c>
      <c r="C4" s="9" t="n">
        <f aca="false">-PMT(Inputs!$C$8,Inputs!$C$9,Inputs!$C$5)</f>
        <v>665.302495179183</v>
      </c>
      <c r="D4" s="9" t="n">
        <f aca="false">B4*Inputs!$C$8</f>
        <v>582.374237216708</v>
      </c>
      <c r="E4" s="9" t="n">
        <f aca="false">C4-D4</f>
        <v>82.9282579624753</v>
      </c>
      <c r="F4" s="9" t="n">
        <f aca="false">B4-E4</f>
        <v>99752.6552649017</v>
      </c>
    </row>
    <row r="5" customFormat="false" ht="15" hidden="false" customHeight="false" outlineLevel="0" collapsed="false">
      <c r="A5" s="0" t="n">
        <v>4</v>
      </c>
      <c r="B5" s="9" t="n">
        <f aca="false">F4</f>
        <v>99752.6552649017</v>
      </c>
      <c r="C5" s="9" t="n">
        <f aca="false">-PMT(Inputs!$C$8,Inputs!$C$9,Inputs!$C$5)</f>
        <v>665.302495179183</v>
      </c>
      <c r="D5" s="9" t="n">
        <f aca="false">B5*Inputs!$C$8</f>
        <v>581.89048904526</v>
      </c>
      <c r="E5" s="9" t="n">
        <f aca="false">C5-D5</f>
        <v>83.412006133923</v>
      </c>
      <c r="F5" s="9" t="n">
        <f aca="false">B5-E5</f>
        <v>99669.2432587678</v>
      </c>
    </row>
    <row r="6" customFormat="false" ht="15" hidden="false" customHeight="false" outlineLevel="0" collapsed="false">
      <c r="A6" s="0" t="n">
        <v>5</v>
      </c>
      <c r="B6" s="9" t="n">
        <f aca="false">F5</f>
        <v>99669.2432587678</v>
      </c>
      <c r="C6" s="9" t="n">
        <f aca="false">-PMT(Inputs!$C$8,Inputs!$C$9,Inputs!$C$5)</f>
        <v>665.302495179183</v>
      </c>
      <c r="D6" s="9" t="n">
        <f aca="false">B6*Inputs!$C$8</f>
        <v>581.403919009479</v>
      </c>
      <c r="E6" s="9" t="n">
        <f aca="false">C6-D6</f>
        <v>83.8985761697043</v>
      </c>
      <c r="F6" s="9" t="n">
        <f aca="false">B6-E6</f>
        <v>99585.3446825981</v>
      </c>
    </row>
    <row r="7" customFormat="false" ht="15" hidden="false" customHeight="false" outlineLevel="0" collapsed="false">
      <c r="A7" s="0" t="n">
        <v>6</v>
      </c>
      <c r="B7" s="9" t="n">
        <f aca="false">F6</f>
        <v>99585.3446825981</v>
      </c>
      <c r="C7" s="9" t="n">
        <f aca="false">-PMT(Inputs!$C$8,Inputs!$C$9,Inputs!$C$5)</f>
        <v>665.302495179183</v>
      </c>
      <c r="D7" s="9" t="n">
        <f aca="false">B7*Inputs!$C$8</f>
        <v>580.914510648489</v>
      </c>
      <c r="E7" s="9" t="n">
        <f aca="false">C7-D7</f>
        <v>84.3879845306942</v>
      </c>
      <c r="F7" s="9" t="n">
        <f aca="false">B7-E7</f>
        <v>99500.9566980674</v>
      </c>
    </row>
    <row r="8" customFormat="false" ht="15" hidden="false" customHeight="false" outlineLevel="0" collapsed="false">
      <c r="A8" s="0" t="n">
        <v>7</v>
      </c>
      <c r="B8" s="9" t="n">
        <f aca="false">F7</f>
        <v>99500.9566980674</v>
      </c>
      <c r="C8" s="9" t="n">
        <f aca="false">-PMT(Inputs!$C$8,Inputs!$C$9,Inputs!$C$5)</f>
        <v>665.302495179183</v>
      </c>
      <c r="D8" s="9" t="n">
        <f aca="false">B8*Inputs!$C$8</f>
        <v>580.422247405393</v>
      </c>
      <c r="E8" s="9" t="n">
        <f aca="false">C8-D8</f>
        <v>84.88024777379</v>
      </c>
      <c r="F8" s="9" t="n">
        <f aca="false">B8-E8</f>
        <v>99416.0764502936</v>
      </c>
    </row>
    <row r="9" customFormat="false" ht="15" hidden="false" customHeight="false" outlineLevel="0" collapsed="false">
      <c r="A9" s="0" t="n">
        <v>8</v>
      </c>
      <c r="B9" s="9" t="n">
        <f aca="false">F8</f>
        <v>99416.0764502936</v>
      </c>
      <c r="C9" s="9" t="n">
        <f aca="false">-PMT(Inputs!$C$8,Inputs!$C$9,Inputs!$C$5)</f>
        <v>665.302495179183</v>
      </c>
      <c r="D9" s="9" t="n">
        <f aca="false">B9*Inputs!$C$8</f>
        <v>579.927112626713</v>
      </c>
      <c r="E9" s="9" t="n">
        <f aca="false">C9-D9</f>
        <v>85.3753825524703</v>
      </c>
      <c r="F9" s="9" t="n">
        <f aca="false">B9-E9</f>
        <v>99330.7010677412</v>
      </c>
    </row>
    <row r="10" customFormat="false" ht="15" hidden="false" customHeight="false" outlineLevel="0" collapsed="false">
      <c r="A10" s="0" t="n">
        <v>9</v>
      </c>
      <c r="B10" s="9" t="n">
        <f aca="false">F9</f>
        <v>99330.7010677412</v>
      </c>
      <c r="C10" s="9" t="n">
        <f aca="false">-PMT(Inputs!$C$8,Inputs!$C$9,Inputs!$C$5)</f>
        <v>665.302495179183</v>
      </c>
      <c r="D10" s="9" t="n">
        <f aca="false">B10*Inputs!$C$8</f>
        <v>579.429089561823</v>
      </c>
      <c r="E10" s="9" t="n">
        <f aca="false">C10-D10</f>
        <v>85.8734056173598</v>
      </c>
      <c r="F10" s="9" t="n">
        <f aca="false">B10-E10</f>
        <v>99244.8276621238</v>
      </c>
    </row>
    <row r="11" customFormat="false" ht="15" hidden="false" customHeight="false" outlineLevel="0" collapsed="false">
      <c r="A11" s="0" t="n">
        <v>10</v>
      </c>
      <c r="B11" s="9" t="n">
        <f aca="false">F10</f>
        <v>99244.8276621238</v>
      </c>
      <c r="C11" s="9" t="n">
        <f aca="false">-PMT(Inputs!$C$8,Inputs!$C$9,Inputs!$C$5)</f>
        <v>665.302495179183</v>
      </c>
      <c r="D11" s="9" t="n">
        <f aca="false">B11*Inputs!$C$8</f>
        <v>578.928161362389</v>
      </c>
      <c r="E11" s="9" t="n">
        <f aca="false">C11-D11</f>
        <v>86.3743338167944</v>
      </c>
      <c r="F11" s="9" t="n">
        <f aca="false">B11-E11</f>
        <v>99158.453328307</v>
      </c>
    </row>
    <row r="12" customFormat="false" ht="15" hidden="false" customHeight="false" outlineLevel="0" collapsed="false">
      <c r="A12" s="0" t="n">
        <v>11</v>
      </c>
      <c r="B12" s="9" t="n">
        <f aca="false">F11</f>
        <v>99158.453328307</v>
      </c>
      <c r="C12" s="9" t="n">
        <f aca="false">-PMT(Inputs!$C$8,Inputs!$C$9,Inputs!$C$5)</f>
        <v>665.302495179183</v>
      </c>
      <c r="D12" s="9" t="n">
        <f aca="false">B12*Inputs!$C$8</f>
        <v>578.424311081791</v>
      </c>
      <c r="E12" s="9" t="n">
        <f aca="false">C12-D12</f>
        <v>86.8781840973924</v>
      </c>
      <c r="F12" s="9" t="n">
        <f aca="false">B12-E12</f>
        <v>99071.5751442096</v>
      </c>
    </row>
    <row r="13" customFormat="false" ht="15" hidden="false" customHeight="false" outlineLevel="0" collapsed="false">
      <c r="A13" s="0" t="n">
        <v>12</v>
      </c>
      <c r="B13" s="9" t="n">
        <f aca="false">F12</f>
        <v>99071.5751442096</v>
      </c>
      <c r="C13" s="9" t="n">
        <f aca="false">-PMT(Inputs!$C$8,Inputs!$C$9,Inputs!$C$5)</f>
        <v>665.302495179183</v>
      </c>
      <c r="D13" s="9" t="n">
        <f aca="false">B13*Inputs!$C$8</f>
        <v>577.917521674556</v>
      </c>
      <c r="E13" s="9" t="n">
        <f aca="false">C13-D13</f>
        <v>87.3849735046272</v>
      </c>
      <c r="F13" s="9" t="n">
        <f aca="false">B13-E13</f>
        <v>98984.190170705</v>
      </c>
    </row>
    <row r="14" customFormat="false" ht="15" hidden="false" customHeight="false" outlineLevel="0" collapsed="false">
      <c r="A14" s="0" t="n">
        <v>13</v>
      </c>
      <c r="B14" s="9" t="n">
        <f aca="false">F13</f>
        <v>98984.190170705</v>
      </c>
      <c r="C14" s="9" t="n">
        <f aca="false">-PMT(Inputs!$C$8,Inputs!$C$9,Inputs!$C$5)</f>
        <v>665.302495179183</v>
      </c>
      <c r="D14" s="9" t="n">
        <f aca="false">B14*Inputs!$C$8</f>
        <v>577.407775995779</v>
      </c>
      <c r="E14" s="9" t="n">
        <f aca="false">C14-D14</f>
        <v>87.8947191834042</v>
      </c>
      <c r="F14" s="9" t="n">
        <f aca="false">B14-E14</f>
        <v>98896.2954515216</v>
      </c>
    </row>
    <row r="15" customFormat="false" ht="15" hidden="false" customHeight="false" outlineLevel="0" collapsed="false">
      <c r="A15" s="0" t="n">
        <v>14</v>
      </c>
      <c r="B15" s="9" t="n">
        <f aca="false">F14</f>
        <v>98896.2954515216</v>
      </c>
      <c r="C15" s="9" t="n">
        <f aca="false">-PMT(Inputs!$C$8,Inputs!$C$9,Inputs!$C$5)</f>
        <v>665.302495179183</v>
      </c>
      <c r="D15" s="9" t="n">
        <f aca="false">B15*Inputs!$C$8</f>
        <v>576.895056800543</v>
      </c>
      <c r="E15" s="9" t="n">
        <f aca="false">C15-D15</f>
        <v>88.4074383786407</v>
      </c>
      <c r="F15" s="9" t="n">
        <f aca="false">B15-E15</f>
        <v>98807.8880131429</v>
      </c>
    </row>
    <row r="16" customFormat="false" ht="15" hidden="false" customHeight="false" outlineLevel="0" collapsed="false">
      <c r="A16" s="0" t="n">
        <v>15</v>
      </c>
      <c r="B16" s="9" t="n">
        <f aca="false">F15</f>
        <v>98807.8880131429</v>
      </c>
      <c r="C16" s="9" t="n">
        <f aca="false">-PMT(Inputs!$C$8,Inputs!$C$9,Inputs!$C$5)</f>
        <v>665.302495179183</v>
      </c>
      <c r="D16" s="9" t="n">
        <f aca="false">B16*Inputs!$C$8</f>
        <v>576.379346743334</v>
      </c>
      <c r="E16" s="9" t="n">
        <f aca="false">C16-D16</f>
        <v>88.9231484358494</v>
      </c>
      <c r="F16" s="9" t="n">
        <f aca="false">B16-E16</f>
        <v>98718.9648647071</v>
      </c>
    </row>
    <row r="17" customFormat="false" ht="15" hidden="false" customHeight="false" outlineLevel="0" collapsed="false">
      <c r="A17" s="0" t="n">
        <v>16</v>
      </c>
      <c r="B17" s="9" t="n">
        <f aca="false">F16</f>
        <v>98718.9648647071</v>
      </c>
      <c r="C17" s="9" t="n">
        <f aca="false">-PMT(Inputs!$C$8,Inputs!$C$9,Inputs!$C$5)</f>
        <v>665.302495179183</v>
      </c>
      <c r="D17" s="9" t="n">
        <f aca="false">B17*Inputs!$C$8</f>
        <v>575.860628377458</v>
      </c>
      <c r="E17" s="9" t="n">
        <f aca="false">C17-D17</f>
        <v>89.4418668017252</v>
      </c>
      <c r="F17" s="9" t="n">
        <f aca="false">B17-E17</f>
        <v>98629.5229979054</v>
      </c>
    </row>
    <row r="18" customFormat="false" ht="15" hidden="false" customHeight="false" outlineLevel="0" collapsed="false">
      <c r="A18" s="0" t="n">
        <v>17</v>
      </c>
      <c r="B18" s="9" t="n">
        <f aca="false">F17</f>
        <v>98629.5229979054</v>
      </c>
      <c r="C18" s="9" t="n">
        <f aca="false">-PMT(Inputs!$C$8,Inputs!$C$9,Inputs!$C$5)</f>
        <v>665.302495179183</v>
      </c>
      <c r="D18" s="9" t="n">
        <f aca="false">B18*Inputs!$C$8</f>
        <v>575.338884154448</v>
      </c>
      <c r="E18" s="9" t="n">
        <f aca="false">C18-D18</f>
        <v>89.9636110247353</v>
      </c>
      <c r="F18" s="9" t="n">
        <f aca="false">B18-E18</f>
        <v>98539.5593868806</v>
      </c>
    </row>
    <row r="19" customFormat="false" ht="15" hidden="false" customHeight="false" outlineLevel="0" collapsed="false">
      <c r="A19" s="0" t="n">
        <v>18</v>
      </c>
      <c r="B19" s="9" t="n">
        <f aca="false">F18</f>
        <v>98539.5593868806</v>
      </c>
      <c r="C19" s="9" t="n">
        <f aca="false">-PMT(Inputs!$C$8,Inputs!$C$9,Inputs!$C$5)</f>
        <v>665.302495179183</v>
      </c>
      <c r="D19" s="9" t="n">
        <f aca="false">B19*Inputs!$C$8</f>
        <v>574.81409642347</v>
      </c>
      <c r="E19" s="9" t="n">
        <f aca="false">C19-D19</f>
        <v>90.4883987557129</v>
      </c>
      <c r="F19" s="9" t="n">
        <f aca="false">B19-E19</f>
        <v>98449.0709881249</v>
      </c>
    </row>
    <row r="20" customFormat="false" ht="15" hidden="false" customHeight="false" outlineLevel="0" collapsed="false">
      <c r="A20" s="0" t="n">
        <v>19</v>
      </c>
      <c r="B20" s="9" t="n">
        <f aca="false">F19</f>
        <v>98449.0709881249</v>
      </c>
      <c r="C20" s="9" t="n">
        <f aca="false">-PMT(Inputs!$C$8,Inputs!$C$9,Inputs!$C$5)</f>
        <v>665.302495179183</v>
      </c>
      <c r="D20" s="9" t="n">
        <f aca="false">B20*Inputs!$C$8</f>
        <v>574.286247430729</v>
      </c>
      <c r="E20" s="9" t="n">
        <f aca="false">C20-D20</f>
        <v>91.0162477484546</v>
      </c>
      <c r="F20" s="9" t="n">
        <f aca="false">B20-E20</f>
        <v>98358.0547403765</v>
      </c>
    </row>
    <row r="21" customFormat="false" ht="15" hidden="false" customHeight="false" outlineLevel="0" collapsed="false">
      <c r="A21" s="0" t="n">
        <v>20</v>
      </c>
      <c r="B21" s="9" t="n">
        <f aca="false">F20</f>
        <v>98358.0547403765</v>
      </c>
      <c r="C21" s="9" t="n">
        <f aca="false">-PMT(Inputs!$C$8,Inputs!$C$9,Inputs!$C$5)</f>
        <v>665.302495179183</v>
      </c>
      <c r="D21" s="9" t="n">
        <f aca="false">B21*Inputs!$C$8</f>
        <v>573.755319318863</v>
      </c>
      <c r="E21" s="9" t="n">
        <f aca="false">C21-D21</f>
        <v>91.5471758603205</v>
      </c>
      <c r="F21" s="9" t="n">
        <f aca="false">B21-E21</f>
        <v>98266.5075645161</v>
      </c>
    </row>
    <row r="22" customFormat="false" ht="15" hidden="false" customHeight="false" outlineLevel="0" collapsed="false">
      <c r="A22" s="0" t="n">
        <v>21</v>
      </c>
      <c r="B22" s="9" t="n">
        <f aca="false">F21</f>
        <v>98266.5075645161</v>
      </c>
      <c r="C22" s="9" t="n">
        <f aca="false">-PMT(Inputs!$C$8,Inputs!$C$9,Inputs!$C$5)</f>
        <v>665.302495179183</v>
      </c>
      <c r="D22" s="9" t="n">
        <f aca="false">B22*Inputs!$C$8</f>
        <v>573.221294126344</v>
      </c>
      <c r="E22" s="9" t="n">
        <f aca="false">C22-D22</f>
        <v>92.0812010528391</v>
      </c>
      <c r="F22" s="9" t="n">
        <f aca="false">B22-E22</f>
        <v>98174.4263634633</v>
      </c>
    </row>
    <row r="23" customFormat="false" ht="15" hidden="false" customHeight="false" outlineLevel="0" collapsed="false">
      <c r="A23" s="0" t="n">
        <v>22</v>
      </c>
      <c r="B23" s="9" t="n">
        <f aca="false">F22</f>
        <v>98174.4263634633</v>
      </c>
      <c r="C23" s="9" t="n">
        <f aca="false">-PMT(Inputs!$C$8,Inputs!$C$9,Inputs!$C$5)</f>
        <v>665.302495179183</v>
      </c>
      <c r="D23" s="9" t="n">
        <f aca="false">B23*Inputs!$C$8</f>
        <v>572.684153786869</v>
      </c>
      <c r="E23" s="9" t="n">
        <f aca="false">C23-D23</f>
        <v>92.6183413923141</v>
      </c>
      <c r="F23" s="9" t="n">
        <f aca="false">B23-E23</f>
        <v>98081.808022071</v>
      </c>
    </row>
    <row r="24" customFormat="false" ht="15" hidden="false" customHeight="false" outlineLevel="0" collapsed="false">
      <c r="A24" s="0" t="n">
        <v>23</v>
      </c>
      <c r="B24" s="9" t="n">
        <f aca="false">F23</f>
        <v>98081.808022071</v>
      </c>
      <c r="C24" s="9" t="n">
        <f aca="false">-PMT(Inputs!$C$8,Inputs!$C$9,Inputs!$C$5)</f>
        <v>665.302495179183</v>
      </c>
      <c r="D24" s="9" t="n">
        <f aca="false">B24*Inputs!$C$8</f>
        <v>572.143880128747</v>
      </c>
      <c r="E24" s="9" t="n">
        <f aca="false">C24-D24</f>
        <v>93.1586150504359</v>
      </c>
      <c r="F24" s="9" t="n">
        <f aca="false">B24-E24</f>
        <v>97988.6494070205</v>
      </c>
    </row>
    <row r="25" customFormat="false" ht="15" hidden="false" customHeight="false" outlineLevel="0" collapsed="false">
      <c r="A25" s="0" t="n">
        <v>24</v>
      </c>
      <c r="B25" s="9" t="n">
        <f aca="false">F24</f>
        <v>97988.6494070205</v>
      </c>
      <c r="C25" s="9" t="n">
        <f aca="false">-PMT(Inputs!$C$8,Inputs!$C$9,Inputs!$C$5)</f>
        <v>665.302495179183</v>
      </c>
      <c r="D25" s="9" t="n">
        <f aca="false">B25*Inputs!$C$8</f>
        <v>571.600454874287</v>
      </c>
      <c r="E25" s="9" t="n">
        <f aca="false">C25-D25</f>
        <v>93.7020403048967</v>
      </c>
      <c r="F25" s="9" t="n">
        <f aca="false">B25-E25</f>
        <v>97894.9473667156</v>
      </c>
    </row>
    <row r="26" customFormat="false" ht="15" hidden="false" customHeight="false" outlineLevel="0" collapsed="false">
      <c r="A26" s="0" t="n">
        <v>25</v>
      </c>
      <c r="B26" s="9" t="n">
        <f aca="false">F25</f>
        <v>97894.9473667156</v>
      </c>
      <c r="C26" s="9" t="n">
        <f aca="false">-PMT(Inputs!$C$8,Inputs!$C$9,Inputs!$C$5)</f>
        <v>665.302495179183</v>
      </c>
      <c r="D26" s="9" t="n">
        <f aca="false">B26*Inputs!$C$8</f>
        <v>571.053859639175</v>
      </c>
      <c r="E26" s="9" t="n">
        <f aca="false">C26-D26</f>
        <v>94.2486355400087</v>
      </c>
      <c r="F26" s="9" t="n">
        <f aca="false">B26-E26</f>
        <v>97800.6987311756</v>
      </c>
    </row>
    <row r="27" customFormat="false" ht="15" hidden="false" customHeight="false" outlineLevel="0" collapsed="false">
      <c r="A27" s="0" t="n">
        <v>26</v>
      </c>
      <c r="B27" s="9" t="n">
        <f aca="false">F26</f>
        <v>97800.6987311756</v>
      </c>
      <c r="C27" s="9" t="n">
        <f aca="false">-PMT(Inputs!$C$8,Inputs!$C$9,Inputs!$C$5)</f>
        <v>665.302495179183</v>
      </c>
      <c r="D27" s="9" t="n">
        <f aca="false">B27*Inputs!$C$8</f>
        <v>570.504075931858</v>
      </c>
      <c r="E27" s="9" t="n">
        <f aca="false">C27-D27</f>
        <v>94.7984192473253</v>
      </c>
      <c r="F27" s="9" t="n">
        <f aca="false">B27-E27</f>
        <v>97705.9003119283</v>
      </c>
    </row>
    <row r="28" customFormat="false" ht="15" hidden="false" customHeight="false" outlineLevel="0" collapsed="false">
      <c r="A28" s="0" t="n">
        <v>27</v>
      </c>
      <c r="B28" s="9" t="n">
        <f aca="false">F27</f>
        <v>97705.9003119283</v>
      </c>
      <c r="C28" s="9" t="n">
        <f aca="false">-PMT(Inputs!$C$8,Inputs!$C$9,Inputs!$C$5)</f>
        <v>665.302495179183</v>
      </c>
      <c r="D28" s="9" t="n">
        <f aca="false">B28*Inputs!$C$8</f>
        <v>569.951085152915</v>
      </c>
      <c r="E28" s="9" t="n">
        <f aca="false">C28-D28</f>
        <v>95.351410026268</v>
      </c>
      <c r="F28" s="9" t="n">
        <f aca="false">B28-E28</f>
        <v>97610.5489019021</v>
      </c>
    </row>
    <row r="29" customFormat="false" ht="15" hidden="false" customHeight="false" outlineLevel="0" collapsed="false">
      <c r="A29" s="0" t="n">
        <v>28</v>
      </c>
      <c r="B29" s="9" t="n">
        <f aca="false">F28</f>
        <v>97610.5489019021</v>
      </c>
      <c r="C29" s="9" t="n">
        <f aca="false">-PMT(Inputs!$C$8,Inputs!$C$9,Inputs!$C$5)</f>
        <v>665.302495179183</v>
      </c>
      <c r="D29" s="9" t="n">
        <f aca="false">B29*Inputs!$C$8</f>
        <v>569.394868594429</v>
      </c>
      <c r="E29" s="9" t="n">
        <f aca="false">C29-D29</f>
        <v>95.9076265847546</v>
      </c>
      <c r="F29" s="9" t="n">
        <f aca="false">B29-E29</f>
        <v>97514.6412753173</v>
      </c>
    </row>
    <row r="30" customFormat="false" ht="15" hidden="false" customHeight="false" outlineLevel="0" collapsed="false">
      <c r="A30" s="0" t="n">
        <v>29</v>
      </c>
      <c r="B30" s="9" t="n">
        <f aca="false">F29</f>
        <v>97514.6412753173</v>
      </c>
      <c r="C30" s="9" t="n">
        <f aca="false">-PMT(Inputs!$C$8,Inputs!$C$9,Inputs!$C$5)</f>
        <v>665.302495179183</v>
      </c>
      <c r="D30" s="9" t="n">
        <f aca="false">B30*Inputs!$C$8</f>
        <v>568.835407439351</v>
      </c>
      <c r="E30" s="9" t="n">
        <f aca="false">C30-D30</f>
        <v>96.4670877398323</v>
      </c>
      <c r="F30" s="9" t="n">
        <f aca="false">B30-E30</f>
        <v>97418.1741875775</v>
      </c>
    </row>
    <row r="31" customFormat="false" ht="15" hidden="false" customHeight="false" outlineLevel="0" collapsed="false">
      <c r="A31" s="0" t="n">
        <v>30</v>
      </c>
      <c r="B31" s="9" t="n">
        <f aca="false">F30</f>
        <v>97418.1741875775</v>
      </c>
      <c r="C31" s="9" t="n">
        <f aca="false">-PMT(Inputs!$C$8,Inputs!$C$9,Inputs!$C$5)</f>
        <v>665.302495179183</v>
      </c>
      <c r="D31" s="9" t="n">
        <f aca="false">B31*Inputs!$C$8</f>
        <v>568.272682760869</v>
      </c>
      <c r="E31" s="9" t="n">
        <f aca="false">C31-D31</f>
        <v>97.0298124183147</v>
      </c>
      <c r="F31" s="9" t="n">
        <f aca="false">B31-E31</f>
        <v>97321.1443751591</v>
      </c>
    </row>
    <row r="32" customFormat="false" ht="15" hidden="false" customHeight="false" outlineLevel="0" collapsed="false">
      <c r="A32" s="0" t="n">
        <v>31</v>
      </c>
      <c r="B32" s="9" t="n">
        <f aca="false">F31</f>
        <v>97321.1443751591</v>
      </c>
      <c r="C32" s="9" t="n">
        <f aca="false">-PMT(Inputs!$C$8,Inputs!$C$9,Inputs!$C$5)</f>
        <v>665.302495179183</v>
      </c>
      <c r="D32" s="9" t="n">
        <f aca="false">B32*Inputs!$C$8</f>
        <v>567.706675521762</v>
      </c>
      <c r="E32" s="9" t="n">
        <f aca="false">C32-D32</f>
        <v>97.5958196574215</v>
      </c>
      <c r="F32" s="9" t="n">
        <f aca="false">B32-E32</f>
        <v>97223.5485555017</v>
      </c>
    </row>
    <row r="33" customFormat="false" ht="15" hidden="false" customHeight="false" outlineLevel="0" collapsed="false">
      <c r="A33" s="0" t="n">
        <v>32</v>
      </c>
      <c r="B33" s="9" t="n">
        <f aca="false">F32</f>
        <v>97223.5485555017</v>
      </c>
      <c r="C33" s="9" t="n">
        <f aca="false">-PMT(Inputs!$C$8,Inputs!$C$9,Inputs!$C$5)</f>
        <v>665.302495179183</v>
      </c>
      <c r="D33" s="9" t="n">
        <f aca="false">B33*Inputs!$C$8</f>
        <v>567.13736657376</v>
      </c>
      <c r="E33" s="9" t="n">
        <f aca="false">C33-D33</f>
        <v>98.1651286054231</v>
      </c>
      <c r="F33" s="9" t="n">
        <f aca="false">B33-E33</f>
        <v>97125.3834268963</v>
      </c>
    </row>
    <row r="34" customFormat="false" ht="15" hidden="false" customHeight="false" outlineLevel="0" collapsed="false">
      <c r="A34" s="0" t="n">
        <v>33</v>
      </c>
      <c r="B34" s="9" t="n">
        <f aca="false">F33</f>
        <v>97125.3834268963</v>
      </c>
      <c r="C34" s="9" t="n">
        <f aca="false">-PMT(Inputs!$C$8,Inputs!$C$9,Inputs!$C$5)</f>
        <v>665.302495179183</v>
      </c>
      <c r="D34" s="9" t="n">
        <f aca="false">B34*Inputs!$C$8</f>
        <v>566.564736656895</v>
      </c>
      <c r="E34" s="9" t="n">
        <f aca="false">C34-D34</f>
        <v>98.7377585222881</v>
      </c>
      <c r="F34" s="9" t="n">
        <f aca="false">B34-E34</f>
        <v>97026.645668374</v>
      </c>
    </row>
    <row r="35" customFormat="false" ht="15" hidden="false" customHeight="false" outlineLevel="0" collapsed="false">
      <c r="A35" s="0" t="n">
        <v>34</v>
      </c>
      <c r="B35" s="9" t="n">
        <f aca="false">F34</f>
        <v>97026.645668374</v>
      </c>
      <c r="C35" s="9" t="n">
        <f aca="false">-PMT(Inputs!$C$8,Inputs!$C$9,Inputs!$C$5)</f>
        <v>665.302495179183</v>
      </c>
      <c r="D35" s="9" t="n">
        <f aca="false">B35*Inputs!$C$8</f>
        <v>565.988766398848</v>
      </c>
      <c r="E35" s="9" t="n">
        <f aca="false">C35-D35</f>
        <v>99.3137287803348</v>
      </c>
      <c r="F35" s="9" t="n">
        <f aca="false">B35-E35</f>
        <v>96927.3319395937</v>
      </c>
    </row>
    <row r="36" customFormat="false" ht="15" hidden="false" customHeight="false" outlineLevel="0" collapsed="false">
      <c r="A36" s="0" t="n">
        <v>35</v>
      </c>
      <c r="B36" s="9" t="n">
        <f aca="false">F35</f>
        <v>96927.3319395937</v>
      </c>
      <c r="C36" s="9" t="n">
        <f aca="false">-PMT(Inputs!$C$8,Inputs!$C$9,Inputs!$C$5)</f>
        <v>665.302495179183</v>
      </c>
      <c r="D36" s="9" t="n">
        <f aca="false">B36*Inputs!$C$8</f>
        <v>565.409436314296</v>
      </c>
      <c r="E36" s="9" t="n">
        <f aca="false">C36-D36</f>
        <v>99.8930588648868</v>
      </c>
      <c r="F36" s="9" t="n">
        <f aca="false">B36-E36</f>
        <v>96827.4388807288</v>
      </c>
    </row>
    <row r="37" customFormat="false" ht="15" hidden="false" customHeight="false" outlineLevel="0" collapsed="false">
      <c r="A37" s="0" t="n">
        <v>36</v>
      </c>
      <c r="B37" s="9" t="n">
        <f aca="false">F36</f>
        <v>96827.4388807288</v>
      </c>
      <c r="C37" s="9" t="n">
        <f aca="false">-PMT(Inputs!$C$8,Inputs!$C$9,Inputs!$C$5)</f>
        <v>665.302495179183</v>
      </c>
      <c r="D37" s="9" t="n">
        <f aca="false">B37*Inputs!$C$8</f>
        <v>564.826726804251</v>
      </c>
      <c r="E37" s="9" t="n">
        <f aca="false">C37-D37</f>
        <v>100.475768374932</v>
      </c>
      <c r="F37" s="9" t="n">
        <f aca="false">B37-E37</f>
        <v>96726.9631123539</v>
      </c>
    </row>
    <row r="38" customFormat="false" ht="15" hidden="false" customHeight="false" outlineLevel="0" collapsed="false">
      <c r="A38" s="0" t="n">
        <v>37</v>
      </c>
      <c r="B38" s="9" t="n">
        <f aca="false">F37</f>
        <v>96726.9631123539</v>
      </c>
      <c r="C38" s="9" t="n">
        <f aca="false">-PMT(Inputs!$C$8,Inputs!$C$9,Inputs!$C$5)</f>
        <v>665.302495179183</v>
      </c>
      <c r="D38" s="9" t="n">
        <f aca="false">B38*Inputs!$C$8</f>
        <v>564.240618155398</v>
      </c>
      <c r="E38" s="9" t="n">
        <f aca="false">C38-D38</f>
        <v>101.061877023786</v>
      </c>
      <c r="F38" s="9" t="n">
        <f aca="false">B38-E38</f>
        <v>96625.9012353301</v>
      </c>
    </row>
    <row r="39" customFormat="false" ht="15" hidden="false" customHeight="false" outlineLevel="0" collapsed="false">
      <c r="A39" s="0" t="n">
        <v>38</v>
      </c>
      <c r="B39" s="9" t="n">
        <f aca="false">F38</f>
        <v>96625.9012353301</v>
      </c>
      <c r="C39" s="9" t="n">
        <f aca="false">-PMT(Inputs!$C$8,Inputs!$C$9,Inputs!$C$5)</f>
        <v>665.302495179183</v>
      </c>
      <c r="D39" s="9" t="n">
        <f aca="false">B39*Inputs!$C$8</f>
        <v>563.651090539425</v>
      </c>
      <c r="E39" s="9" t="n">
        <f aca="false">C39-D39</f>
        <v>101.651404639758</v>
      </c>
      <c r="F39" s="9" t="n">
        <f aca="false">B39-E39</f>
        <v>96524.2498306903</v>
      </c>
    </row>
    <row r="40" customFormat="false" ht="15" hidden="false" customHeight="false" outlineLevel="0" collapsed="false">
      <c r="A40" s="0" t="n">
        <v>39</v>
      </c>
      <c r="B40" s="9" t="n">
        <f aca="false">F39</f>
        <v>96524.2498306903</v>
      </c>
      <c r="C40" s="9" t="n">
        <f aca="false">-PMT(Inputs!$C$8,Inputs!$C$9,Inputs!$C$5)</f>
        <v>665.302495179183</v>
      </c>
      <c r="D40" s="9" t="n">
        <f aca="false">B40*Inputs!$C$8</f>
        <v>563.05812401236</v>
      </c>
      <c r="E40" s="9" t="n">
        <f aca="false">C40-D40</f>
        <v>102.244371166823</v>
      </c>
      <c r="F40" s="9" t="n">
        <f aca="false">B40-E40</f>
        <v>96422.0054595235</v>
      </c>
    </row>
    <row r="41" customFormat="false" ht="15" hidden="false" customHeight="false" outlineLevel="0" collapsed="false">
      <c r="A41" s="0" t="n">
        <v>40</v>
      </c>
      <c r="B41" s="9" t="n">
        <f aca="false">F40</f>
        <v>96422.0054595235</v>
      </c>
      <c r="C41" s="9" t="n">
        <f aca="false">-PMT(Inputs!$C$8,Inputs!$C$9,Inputs!$C$5)</f>
        <v>665.302495179183</v>
      </c>
      <c r="D41" s="9" t="n">
        <f aca="false">B41*Inputs!$C$8</f>
        <v>562.461698513887</v>
      </c>
      <c r="E41" s="9" t="n">
        <f aca="false">C41-D41</f>
        <v>102.840796665296</v>
      </c>
      <c r="F41" s="9" t="n">
        <f aca="false">B41-E41</f>
        <v>96319.1646628582</v>
      </c>
    </row>
    <row r="42" customFormat="false" ht="15" hidden="false" customHeight="false" outlineLevel="0" collapsed="false">
      <c r="A42" s="0" t="n">
        <v>41</v>
      </c>
      <c r="B42" s="9" t="n">
        <f aca="false">F41</f>
        <v>96319.1646628582</v>
      </c>
      <c r="C42" s="9" t="n">
        <f aca="false">-PMT(Inputs!$C$8,Inputs!$C$9,Inputs!$C$5)</f>
        <v>665.302495179183</v>
      </c>
      <c r="D42" s="9" t="n">
        <f aca="false">B42*Inputs!$C$8</f>
        <v>561.861793866673</v>
      </c>
      <c r="E42" s="9" t="n">
        <f aca="false">C42-D42</f>
        <v>103.44070131251</v>
      </c>
      <c r="F42" s="9" t="n">
        <f aca="false">B42-E42</f>
        <v>96215.7239615457</v>
      </c>
    </row>
    <row r="43" customFormat="false" ht="15" hidden="false" customHeight="false" outlineLevel="0" collapsed="false">
      <c r="A43" s="0" t="n">
        <v>42</v>
      </c>
      <c r="B43" s="9" t="n">
        <f aca="false">F42</f>
        <v>96215.7239615457</v>
      </c>
      <c r="C43" s="9" t="n">
        <f aca="false">-PMT(Inputs!$C$8,Inputs!$C$9,Inputs!$C$5)</f>
        <v>665.302495179183</v>
      </c>
      <c r="D43" s="9" t="n">
        <f aca="false">B43*Inputs!$C$8</f>
        <v>561.258389775683</v>
      </c>
      <c r="E43" s="9" t="n">
        <f aca="false">C43-D43</f>
        <v>104.0441054035</v>
      </c>
      <c r="F43" s="9" t="n">
        <f aca="false">B43-E43</f>
        <v>96111.6798561422</v>
      </c>
    </row>
    <row r="44" customFormat="false" ht="15" hidden="false" customHeight="false" outlineLevel="0" collapsed="false">
      <c r="A44" s="0" t="n">
        <v>43</v>
      </c>
      <c r="B44" s="9" t="n">
        <f aca="false">F43</f>
        <v>96111.6798561422</v>
      </c>
      <c r="C44" s="9" t="n">
        <f aca="false">-PMT(Inputs!$C$8,Inputs!$C$9,Inputs!$C$5)</f>
        <v>665.302495179183</v>
      </c>
      <c r="D44" s="9" t="n">
        <f aca="false">B44*Inputs!$C$8</f>
        <v>560.651465827496</v>
      </c>
      <c r="E44" s="9" t="n">
        <f aca="false">C44-D44</f>
        <v>104.651029351687</v>
      </c>
      <c r="F44" s="9" t="n">
        <f aca="false">B44-E44</f>
        <v>96007.0288267905</v>
      </c>
    </row>
    <row r="45" customFormat="false" ht="15" hidden="false" customHeight="false" outlineLevel="0" collapsed="false">
      <c r="A45" s="0" t="n">
        <v>44</v>
      </c>
      <c r="B45" s="9" t="n">
        <f aca="false">F44</f>
        <v>96007.0288267905</v>
      </c>
      <c r="C45" s="9" t="n">
        <f aca="false">-PMT(Inputs!$C$8,Inputs!$C$9,Inputs!$C$5)</f>
        <v>665.302495179183</v>
      </c>
      <c r="D45" s="9" t="n">
        <f aca="false">B45*Inputs!$C$8</f>
        <v>560.041001489611</v>
      </c>
      <c r="E45" s="9" t="n">
        <f aca="false">C45-D45</f>
        <v>105.261493689572</v>
      </c>
      <c r="F45" s="9" t="n">
        <f aca="false">B45-E45</f>
        <v>95901.7673331009</v>
      </c>
    </row>
    <row r="46" customFormat="false" ht="15" hidden="false" customHeight="false" outlineLevel="0" collapsed="false">
      <c r="A46" s="0" t="n">
        <v>45</v>
      </c>
      <c r="B46" s="9" t="n">
        <f aca="false">F45</f>
        <v>95901.7673331009</v>
      </c>
      <c r="C46" s="9" t="n">
        <f aca="false">-PMT(Inputs!$C$8,Inputs!$C$9,Inputs!$C$5)</f>
        <v>665.302495179183</v>
      </c>
      <c r="D46" s="9" t="n">
        <f aca="false">B46*Inputs!$C$8</f>
        <v>559.426976109755</v>
      </c>
      <c r="E46" s="9" t="n">
        <f aca="false">C46-D46</f>
        <v>105.875519069428</v>
      </c>
      <c r="F46" s="9" t="n">
        <f aca="false">B46-E46</f>
        <v>95795.8918140315</v>
      </c>
    </row>
    <row r="47" customFormat="false" ht="15" hidden="false" customHeight="false" outlineLevel="0" collapsed="false">
      <c r="A47" s="0" t="n">
        <v>46</v>
      </c>
      <c r="B47" s="9" t="n">
        <f aca="false">F46</f>
        <v>95795.8918140315</v>
      </c>
      <c r="C47" s="9" t="n">
        <f aca="false">-PMT(Inputs!$C$8,Inputs!$C$9,Inputs!$C$5)</f>
        <v>665.302495179183</v>
      </c>
      <c r="D47" s="9" t="n">
        <f aca="false">B47*Inputs!$C$8</f>
        <v>558.809368915184</v>
      </c>
      <c r="E47" s="9" t="n">
        <f aca="false">C47-D47</f>
        <v>106.493126264</v>
      </c>
      <c r="F47" s="9" t="n">
        <f aca="false">B47-E47</f>
        <v>95689.3986877675</v>
      </c>
    </row>
    <row r="48" customFormat="false" ht="15" hidden="false" customHeight="false" outlineLevel="0" collapsed="false">
      <c r="A48" s="0" t="n">
        <v>47</v>
      </c>
      <c r="B48" s="9" t="n">
        <f aca="false">F47</f>
        <v>95689.3986877675</v>
      </c>
      <c r="C48" s="9" t="n">
        <f aca="false">-PMT(Inputs!$C$8,Inputs!$C$9,Inputs!$C$5)</f>
        <v>665.302495179183</v>
      </c>
      <c r="D48" s="9" t="n">
        <f aca="false">B48*Inputs!$C$8</f>
        <v>558.188159011977</v>
      </c>
      <c r="E48" s="9" t="n">
        <f aca="false">C48-D48</f>
        <v>107.114336167206</v>
      </c>
      <c r="F48" s="9" t="n">
        <f aca="false">B48-E48</f>
        <v>95582.2843516003</v>
      </c>
    </row>
    <row r="49" customFormat="false" ht="15" hidden="false" customHeight="false" outlineLevel="0" collapsed="false">
      <c r="A49" s="0" t="n">
        <v>48</v>
      </c>
      <c r="B49" s="9" t="n">
        <f aca="false">F48</f>
        <v>95582.2843516003</v>
      </c>
      <c r="C49" s="9" t="n">
        <f aca="false">-PMT(Inputs!$C$8,Inputs!$C$9,Inputs!$C$5)</f>
        <v>665.302495179183</v>
      </c>
      <c r="D49" s="9" t="n">
        <f aca="false">B49*Inputs!$C$8</f>
        <v>557.563325384335</v>
      </c>
      <c r="E49" s="9" t="n">
        <f aca="false">C49-D49</f>
        <v>107.739169794848</v>
      </c>
      <c r="F49" s="9" t="n">
        <f aca="false">B49-E49</f>
        <v>95474.5451818054</v>
      </c>
    </row>
    <row r="50" customFormat="false" ht="15" hidden="false" customHeight="false" outlineLevel="0" collapsed="false">
      <c r="A50" s="0" t="n">
        <v>49</v>
      </c>
      <c r="B50" s="9" t="n">
        <f aca="false">F49</f>
        <v>95474.5451818054</v>
      </c>
      <c r="C50" s="9" t="n">
        <f aca="false">-PMT(Inputs!$C$8,Inputs!$C$9,Inputs!$C$5)</f>
        <v>665.302495179183</v>
      </c>
      <c r="D50" s="9" t="n">
        <f aca="false">B50*Inputs!$C$8</f>
        <v>556.934846893865</v>
      </c>
      <c r="E50" s="9" t="n">
        <f aca="false">C50-D50</f>
        <v>108.367648285318</v>
      </c>
      <c r="F50" s="9" t="n">
        <f aca="false">B50-E50</f>
        <v>95366.1775335201</v>
      </c>
    </row>
    <row r="51" customFormat="false" ht="15" hidden="false" customHeight="false" outlineLevel="0" collapsed="false">
      <c r="A51" s="0" t="n">
        <v>50</v>
      </c>
      <c r="B51" s="9" t="n">
        <f aca="false">F50</f>
        <v>95366.1775335201</v>
      </c>
      <c r="C51" s="9" t="n">
        <f aca="false">-PMT(Inputs!$C$8,Inputs!$C$9,Inputs!$C$5)</f>
        <v>665.302495179183</v>
      </c>
      <c r="D51" s="9" t="n">
        <f aca="false">B51*Inputs!$C$8</f>
        <v>556.302702278867</v>
      </c>
      <c r="E51" s="9" t="n">
        <f aca="false">C51-D51</f>
        <v>108.999792900316</v>
      </c>
      <c r="F51" s="9" t="n">
        <f aca="false">B51-E51</f>
        <v>95257.1777406198</v>
      </c>
    </row>
    <row r="52" customFormat="false" ht="15" hidden="false" customHeight="false" outlineLevel="0" collapsed="false">
      <c r="A52" s="0" t="n">
        <v>51</v>
      </c>
      <c r="B52" s="9" t="n">
        <f aca="false">F51</f>
        <v>95257.1777406198</v>
      </c>
      <c r="C52" s="9" t="n">
        <f aca="false">-PMT(Inputs!$C$8,Inputs!$C$9,Inputs!$C$5)</f>
        <v>665.302495179183</v>
      </c>
      <c r="D52" s="9" t="n">
        <f aca="false">B52*Inputs!$C$8</f>
        <v>555.666870153616</v>
      </c>
      <c r="E52" s="9" t="n">
        <f aca="false">C52-D52</f>
        <v>109.635625025568</v>
      </c>
      <c r="F52" s="9" t="n">
        <f aca="false">B52-E52</f>
        <v>95147.5421155942</v>
      </c>
    </row>
    <row r="53" customFormat="false" ht="15" hidden="false" customHeight="false" outlineLevel="0" collapsed="false">
      <c r="A53" s="0" t="n">
        <v>52</v>
      </c>
      <c r="B53" s="9" t="n">
        <f aca="false">F52</f>
        <v>95147.5421155942</v>
      </c>
      <c r="C53" s="9" t="n">
        <f aca="false">-PMT(Inputs!$C$8,Inputs!$C$9,Inputs!$C$5)</f>
        <v>665.302495179183</v>
      </c>
      <c r="D53" s="9" t="n">
        <f aca="false">B53*Inputs!$C$8</f>
        <v>555.027329007633</v>
      </c>
      <c r="E53" s="9" t="n">
        <f aca="false">C53-D53</f>
        <v>110.27516617155</v>
      </c>
      <c r="F53" s="9" t="n">
        <f aca="false">B53-E53</f>
        <v>95037.2669494227</v>
      </c>
    </row>
    <row r="54" customFormat="false" ht="15" hidden="false" customHeight="false" outlineLevel="0" collapsed="false">
      <c r="A54" s="0" t="n">
        <v>53</v>
      </c>
      <c r="B54" s="9" t="n">
        <f aca="false">F53</f>
        <v>95037.2669494227</v>
      </c>
      <c r="C54" s="9" t="n">
        <f aca="false">-PMT(Inputs!$C$8,Inputs!$C$9,Inputs!$C$5)</f>
        <v>665.302495179183</v>
      </c>
      <c r="D54" s="9" t="n">
        <f aca="false">B54*Inputs!$C$8</f>
        <v>554.384057204966</v>
      </c>
      <c r="E54" s="9" t="n">
        <f aca="false">C54-D54</f>
        <v>110.918437974218</v>
      </c>
      <c r="F54" s="9" t="n">
        <f aca="false">B54-E54</f>
        <v>94926.3485114485</v>
      </c>
    </row>
    <row r="55" customFormat="false" ht="15" hidden="false" customHeight="false" outlineLevel="0" collapsed="false">
      <c r="A55" s="0" t="n">
        <v>54</v>
      </c>
      <c r="B55" s="9" t="n">
        <f aca="false">F54</f>
        <v>94926.3485114485</v>
      </c>
      <c r="C55" s="9" t="n">
        <f aca="false">-PMT(Inputs!$C$8,Inputs!$C$9,Inputs!$C$5)</f>
        <v>665.302495179183</v>
      </c>
      <c r="D55" s="9" t="n">
        <f aca="false">B55*Inputs!$C$8</f>
        <v>553.737032983449</v>
      </c>
      <c r="E55" s="9" t="n">
        <f aca="false">C55-D55</f>
        <v>111.565462195734</v>
      </c>
      <c r="F55" s="9" t="n">
        <f aca="false">B55-E55</f>
        <v>94814.7830492527</v>
      </c>
    </row>
    <row r="56" customFormat="false" ht="15" hidden="false" customHeight="false" outlineLevel="0" collapsed="false">
      <c r="A56" s="0" t="n">
        <v>55</v>
      </c>
      <c r="B56" s="9" t="n">
        <f aca="false">F55</f>
        <v>94814.7830492527</v>
      </c>
      <c r="C56" s="9" t="n">
        <f aca="false">-PMT(Inputs!$C$8,Inputs!$C$9,Inputs!$C$5)</f>
        <v>665.302495179183</v>
      </c>
      <c r="D56" s="9" t="n">
        <f aca="false">B56*Inputs!$C$8</f>
        <v>553.086234453974</v>
      </c>
      <c r="E56" s="9" t="n">
        <f aca="false">C56-D56</f>
        <v>112.216260725209</v>
      </c>
      <c r="F56" s="9" t="n">
        <f aca="false">B56-E56</f>
        <v>94702.5667885275</v>
      </c>
    </row>
    <row r="57" customFormat="false" ht="15" hidden="false" customHeight="false" outlineLevel="0" collapsed="false">
      <c r="A57" s="0" t="n">
        <v>56</v>
      </c>
      <c r="B57" s="9" t="n">
        <f aca="false">F56</f>
        <v>94702.5667885275</v>
      </c>
      <c r="C57" s="9" t="n">
        <f aca="false">-PMT(Inputs!$C$8,Inputs!$C$9,Inputs!$C$5)</f>
        <v>665.302495179183</v>
      </c>
      <c r="D57" s="9" t="n">
        <f aca="false">B57*Inputs!$C$8</f>
        <v>552.431639599744</v>
      </c>
      <c r="E57" s="9" t="n">
        <f aca="false">C57-D57</f>
        <v>112.870855579439</v>
      </c>
      <c r="F57" s="9" t="n">
        <f aca="false">B57-E57</f>
        <v>94589.6959329481</v>
      </c>
    </row>
    <row r="58" customFormat="false" ht="15" hidden="false" customHeight="false" outlineLevel="0" collapsed="false">
      <c r="A58" s="0" t="n">
        <v>57</v>
      </c>
      <c r="B58" s="9" t="n">
        <f aca="false">F57</f>
        <v>94589.6959329481</v>
      </c>
      <c r="C58" s="9" t="n">
        <f aca="false">-PMT(Inputs!$C$8,Inputs!$C$9,Inputs!$C$5)</f>
        <v>665.302495179183</v>
      </c>
      <c r="D58" s="9" t="n">
        <f aca="false">B58*Inputs!$C$8</f>
        <v>551.77322627553</v>
      </c>
      <c r="E58" s="9" t="n">
        <f aca="false">C58-D58</f>
        <v>113.529268903653</v>
      </c>
      <c r="F58" s="9" t="n">
        <f aca="false">B58-E58</f>
        <v>94476.1666640444</v>
      </c>
    </row>
    <row r="59" customFormat="false" ht="15" hidden="false" customHeight="false" outlineLevel="0" collapsed="false">
      <c r="A59" s="0" t="n">
        <v>58</v>
      </c>
      <c r="B59" s="9" t="n">
        <f aca="false">F58</f>
        <v>94476.1666640444</v>
      </c>
      <c r="C59" s="9" t="n">
        <f aca="false">-PMT(Inputs!$C$8,Inputs!$C$9,Inputs!$C$5)</f>
        <v>665.302495179183</v>
      </c>
      <c r="D59" s="9" t="n">
        <f aca="false">B59*Inputs!$C$8</f>
        <v>551.110972206926</v>
      </c>
      <c r="E59" s="9" t="n">
        <f aca="false">C59-D59</f>
        <v>114.191522972257</v>
      </c>
      <c r="F59" s="9" t="n">
        <f aca="false">B59-E59</f>
        <v>94361.9751410722</v>
      </c>
    </row>
    <row r="60" customFormat="false" ht="15" hidden="false" customHeight="false" outlineLevel="0" collapsed="false">
      <c r="A60" s="0" t="n">
        <v>59</v>
      </c>
      <c r="B60" s="9" t="n">
        <f aca="false">F59</f>
        <v>94361.9751410722</v>
      </c>
      <c r="C60" s="9" t="n">
        <f aca="false">-PMT(Inputs!$C$8,Inputs!$C$9,Inputs!$C$5)</f>
        <v>665.302495179183</v>
      </c>
      <c r="D60" s="9" t="n">
        <f aca="false">B60*Inputs!$C$8</f>
        <v>550.444854989588</v>
      </c>
      <c r="E60" s="9" t="n">
        <f aca="false">C60-D60</f>
        <v>114.857640189596</v>
      </c>
      <c r="F60" s="9" t="n">
        <f aca="false">B60-E60</f>
        <v>94247.1175008826</v>
      </c>
    </row>
    <row r="61" customFormat="false" ht="15" hidden="false" customHeight="false" outlineLevel="0" collapsed="false">
      <c r="A61" s="0" t="n">
        <v>60</v>
      </c>
      <c r="B61" s="9" t="n">
        <f aca="false">F60</f>
        <v>94247.1175008826</v>
      </c>
      <c r="C61" s="9" t="n">
        <f aca="false">-PMT(Inputs!$C$8,Inputs!$C$9,Inputs!$C$5)</f>
        <v>665.302495179183</v>
      </c>
      <c r="D61" s="9" t="n">
        <f aca="false">B61*Inputs!$C$8</f>
        <v>549.774852088482</v>
      </c>
      <c r="E61" s="9" t="n">
        <f aca="false">C61-D61</f>
        <v>115.527643090702</v>
      </c>
      <c r="F61" s="9" t="n">
        <f aca="false">B61-E61</f>
        <v>94131.5898577919</v>
      </c>
    </row>
    <row r="62" customFormat="false" ht="15" hidden="false" customHeight="false" outlineLevel="0" collapsed="false">
      <c r="A62" s="0" t="n">
        <v>61</v>
      </c>
      <c r="B62" s="9" t="n">
        <f aca="false">F61</f>
        <v>94131.5898577919</v>
      </c>
      <c r="C62" s="9" t="n">
        <f aca="false">-PMT(Inputs!$C$8,Inputs!$C$9,Inputs!$C$5)</f>
        <v>665.302495179183</v>
      </c>
      <c r="D62" s="9" t="n">
        <f aca="false">B62*Inputs!$C$8</f>
        <v>549.100940837119</v>
      </c>
      <c r="E62" s="9" t="n">
        <f aca="false">C62-D62</f>
        <v>116.201554342064</v>
      </c>
      <c r="F62" s="9" t="n">
        <f aca="false">B62-E62</f>
        <v>94015.3883034498</v>
      </c>
    </row>
    <row r="63" customFormat="false" ht="15" hidden="false" customHeight="false" outlineLevel="0" collapsed="false">
      <c r="A63" s="0" t="n">
        <v>62</v>
      </c>
      <c r="B63" s="9" t="n">
        <f aca="false">F62</f>
        <v>94015.3883034498</v>
      </c>
      <c r="C63" s="9" t="n">
        <f aca="false">-PMT(Inputs!$C$8,Inputs!$C$9,Inputs!$C$5)</f>
        <v>665.302495179183</v>
      </c>
      <c r="D63" s="9" t="n">
        <f aca="false">B63*Inputs!$C$8</f>
        <v>548.423098436791</v>
      </c>
      <c r="E63" s="9" t="n">
        <f aca="false">C63-D63</f>
        <v>116.879396742393</v>
      </c>
      <c r="F63" s="9" t="n">
        <f aca="false">B63-E63</f>
        <v>93898.5089067074</v>
      </c>
    </row>
    <row r="64" customFormat="false" ht="15" hidden="false" customHeight="false" outlineLevel="0" collapsed="false">
      <c r="A64" s="0" t="n">
        <v>63</v>
      </c>
      <c r="B64" s="9" t="n">
        <f aca="false">F63</f>
        <v>93898.5089067074</v>
      </c>
      <c r="C64" s="9" t="n">
        <f aca="false">-PMT(Inputs!$C$8,Inputs!$C$9,Inputs!$C$5)</f>
        <v>665.302495179183</v>
      </c>
      <c r="D64" s="9" t="n">
        <f aca="false">B64*Inputs!$C$8</f>
        <v>547.741301955793</v>
      </c>
      <c r="E64" s="9" t="n">
        <f aca="false">C64-D64</f>
        <v>117.56119322339</v>
      </c>
      <c r="F64" s="9" t="n">
        <f aca="false">B64-E64</f>
        <v>93780.947713484</v>
      </c>
    </row>
    <row r="65" customFormat="false" ht="15" hidden="false" customHeight="false" outlineLevel="0" collapsed="false">
      <c r="A65" s="0" t="n">
        <v>64</v>
      </c>
      <c r="B65" s="9" t="n">
        <f aca="false">F64</f>
        <v>93780.947713484</v>
      </c>
      <c r="C65" s="9" t="n">
        <f aca="false">-PMT(Inputs!$C$8,Inputs!$C$9,Inputs!$C$5)</f>
        <v>665.302495179183</v>
      </c>
      <c r="D65" s="9" t="n">
        <f aca="false">B65*Inputs!$C$8</f>
        <v>547.055528328657</v>
      </c>
      <c r="E65" s="9" t="n">
        <f aca="false">C65-D65</f>
        <v>118.246966850526</v>
      </c>
      <c r="F65" s="9" t="n">
        <f aca="false">B65-E65</f>
        <v>93662.7007466335</v>
      </c>
    </row>
    <row r="66" customFormat="false" ht="15" hidden="false" customHeight="false" outlineLevel="0" collapsed="false">
      <c r="A66" s="0" t="n">
        <v>65</v>
      </c>
      <c r="B66" s="9" t="n">
        <f aca="false">F65</f>
        <v>93662.7007466335</v>
      </c>
      <c r="C66" s="9" t="n">
        <f aca="false">-PMT(Inputs!$C$8,Inputs!$C$9,Inputs!$C$5)</f>
        <v>665.302495179183</v>
      </c>
      <c r="D66" s="9" t="n">
        <f aca="false">B66*Inputs!$C$8</f>
        <v>546.365754355362</v>
      </c>
      <c r="E66" s="9" t="n">
        <f aca="false">C66-D66</f>
        <v>118.936740823821</v>
      </c>
      <c r="F66" s="9" t="n">
        <f aca="false">B66-E66</f>
        <v>93543.7640058097</v>
      </c>
    </row>
    <row r="67" customFormat="false" ht="15" hidden="false" customHeight="false" outlineLevel="0" collapsed="false">
      <c r="A67" s="0" t="n">
        <v>66</v>
      </c>
      <c r="B67" s="9" t="n">
        <f aca="false">F66</f>
        <v>93543.7640058097</v>
      </c>
      <c r="C67" s="9" t="n">
        <f aca="false">-PMT(Inputs!$C$8,Inputs!$C$9,Inputs!$C$5)</f>
        <v>665.302495179183</v>
      </c>
      <c r="D67" s="9" t="n">
        <f aca="false">B67*Inputs!$C$8</f>
        <v>545.671956700557</v>
      </c>
      <c r="E67" s="9" t="n">
        <f aca="false">C67-D67</f>
        <v>119.630538478627</v>
      </c>
      <c r="F67" s="9" t="n">
        <f aca="false">B67-E67</f>
        <v>93424.1334673311</v>
      </c>
    </row>
    <row r="68" customFormat="false" ht="15" hidden="false" customHeight="false" outlineLevel="0" collapsed="false">
      <c r="A68" s="0" t="n">
        <v>67</v>
      </c>
      <c r="B68" s="9" t="n">
        <f aca="false">F67</f>
        <v>93424.1334673311</v>
      </c>
      <c r="C68" s="9" t="n">
        <f aca="false">-PMT(Inputs!$C$8,Inputs!$C$9,Inputs!$C$5)</f>
        <v>665.302495179183</v>
      </c>
      <c r="D68" s="9" t="n">
        <f aca="false">B68*Inputs!$C$8</f>
        <v>544.974111892765</v>
      </c>
      <c r="E68" s="9" t="n">
        <f aca="false">C68-D68</f>
        <v>120.328383286419</v>
      </c>
      <c r="F68" s="9" t="n">
        <f aca="false">B68-E68</f>
        <v>93303.8050840446</v>
      </c>
    </row>
    <row r="69" customFormat="false" ht="15" hidden="false" customHeight="false" outlineLevel="0" collapsed="false">
      <c r="A69" s="0" t="n">
        <v>68</v>
      </c>
      <c r="B69" s="9" t="n">
        <f aca="false">F68</f>
        <v>93303.8050840446</v>
      </c>
      <c r="C69" s="9" t="n">
        <f aca="false">-PMT(Inputs!$C$8,Inputs!$C$9,Inputs!$C$5)</f>
        <v>665.302495179183</v>
      </c>
      <c r="D69" s="9" t="n">
        <f aca="false">B69*Inputs!$C$8</f>
        <v>544.272196323594</v>
      </c>
      <c r="E69" s="9" t="n">
        <f aca="false">C69-D69</f>
        <v>121.030298855589</v>
      </c>
      <c r="F69" s="9" t="n">
        <f aca="false">B69-E69</f>
        <v>93182.7747851891</v>
      </c>
    </row>
    <row r="70" customFormat="false" ht="15" hidden="false" customHeight="false" outlineLevel="0" collapsed="false">
      <c r="A70" s="0" t="n">
        <v>69</v>
      </c>
      <c r="B70" s="9" t="n">
        <f aca="false">F69</f>
        <v>93182.7747851891</v>
      </c>
      <c r="C70" s="9" t="n">
        <f aca="false">-PMT(Inputs!$C$8,Inputs!$C$9,Inputs!$C$5)</f>
        <v>665.302495179183</v>
      </c>
      <c r="D70" s="9" t="n">
        <f aca="false">B70*Inputs!$C$8</f>
        <v>543.566186246936</v>
      </c>
      <c r="E70" s="9" t="n">
        <f aca="false">C70-D70</f>
        <v>121.736308932247</v>
      </c>
      <c r="F70" s="9" t="n">
        <f aca="false">B70-E70</f>
        <v>93061.0384762568</v>
      </c>
    </row>
    <row r="71" customFormat="false" ht="15" hidden="false" customHeight="false" outlineLevel="0" collapsed="false">
      <c r="A71" s="0" t="n">
        <v>70</v>
      </c>
      <c r="B71" s="9" t="n">
        <f aca="false">F70</f>
        <v>93061.0384762568</v>
      </c>
      <c r="C71" s="9" t="n">
        <f aca="false">-PMT(Inputs!$C$8,Inputs!$C$9,Inputs!$C$5)</f>
        <v>665.302495179183</v>
      </c>
      <c r="D71" s="9" t="n">
        <f aca="false">B71*Inputs!$C$8</f>
        <v>542.856057778165</v>
      </c>
      <c r="E71" s="9" t="n">
        <f aca="false">C71-D71</f>
        <v>122.446437401019</v>
      </c>
      <c r="F71" s="9" t="n">
        <f aca="false">B71-E71</f>
        <v>92938.5920388558</v>
      </c>
    </row>
    <row r="72" customFormat="false" ht="15" hidden="false" customHeight="false" outlineLevel="0" collapsed="false">
      <c r="A72" s="0" t="n">
        <v>71</v>
      </c>
      <c r="B72" s="9" t="n">
        <f aca="false">F71</f>
        <v>92938.5920388558</v>
      </c>
      <c r="C72" s="9" t="n">
        <f aca="false">-PMT(Inputs!$C$8,Inputs!$C$9,Inputs!$C$5)</f>
        <v>665.302495179183</v>
      </c>
      <c r="D72" s="9" t="n">
        <f aca="false">B72*Inputs!$C$8</f>
        <v>542.141786893325</v>
      </c>
      <c r="E72" s="9" t="n">
        <f aca="false">C72-D72</f>
        <v>123.160708285858</v>
      </c>
      <c r="F72" s="9" t="n">
        <f aca="false">B72-E72</f>
        <v>92815.4313305699</v>
      </c>
    </row>
    <row r="73" customFormat="false" ht="15" hidden="false" customHeight="false" outlineLevel="0" collapsed="false">
      <c r="A73" s="0" t="n">
        <v>72</v>
      </c>
      <c r="B73" s="9" t="n">
        <f aca="false">F72</f>
        <v>92815.4313305699</v>
      </c>
      <c r="C73" s="9" t="n">
        <f aca="false">-PMT(Inputs!$C$8,Inputs!$C$9,Inputs!$C$5)</f>
        <v>665.302495179183</v>
      </c>
      <c r="D73" s="9" t="n">
        <f aca="false">B73*Inputs!$C$8</f>
        <v>541.423349428325</v>
      </c>
      <c r="E73" s="9" t="n">
        <f aca="false">C73-D73</f>
        <v>123.879145750859</v>
      </c>
      <c r="F73" s="9" t="n">
        <f aca="false">B73-E73</f>
        <v>92691.5521848191</v>
      </c>
    </row>
    <row r="74" customFormat="false" ht="15" hidden="false" customHeight="false" outlineLevel="0" collapsed="false">
      <c r="A74" s="0" t="n">
        <v>73</v>
      </c>
      <c r="B74" s="9" t="n">
        <f aca="false">F73</f>
        <v>92691.5521848191</v>
      </c>
      <c r="C74" s="9" t="n">
        <f aca="false">-PMT(Inputs!$C$8,Inputs!$C$9,Inputs!$C$5)</f>
        <v>665.302495179183</v>
      </c>
      <c r="D74" s="9" t="n">
        <f aca="false">B74*Inputs!$C$8</f>
        <v>540.700721078111</v>
      </c>
      <c r="E74" s="9" t="n">
        <f aca="false">C74-D74</f>
        <v>124.601774101072</v>
      </c>
      <c r="F74" s="9" t="n">
        <f aca="false">B74-E74</f>
        <v>92566.950410718</v>
      </c>
    </row>
    <row r="75" customFormat="false" ht="15" hidden="false" customHeight="false" outlineLevel="0" collapsed="false">
      <c r="A75" s="0" t="n">
        <v>74</v>
      </c>
      <c r="B75" s="9" t="n">
        <f aca="false">F74</f>
        <v>92566.950410718</v>
      </c>
      <c r="C75" s="9" t="n">
        <f aca="false">-PMT(Inputs!$C$8,Inputs!$C$9,Inputs!$C$5)</f>
        <v>665.302495179183</v>
      </c>
      <c r="D75" s="9" t="n">
        <f aca="false">B75*Inputs!$C$8</f>
        <v>539.973877395855</v>
      </c>
      <c r="E75" s="9" t="n">
        <f aca="false">C75-D75</f>
        <v>125.328617783328</v>
      </c>
      <c r="F75" s="9" t="n">
        <f aca="false">B75-E75</f>
        <v>92441.6217929347</v>
      </c>
    </row>
    <row r="76" customFormat="false" ht="15" hidden="false" customHeight="false" outlineLevel="0" collapsed="false">
      <c r="A76" s="0" t="n">
        <v>75</v>
      </c>
      <c r="B76" s="9" t="n">
        <f aca="false">F75</f>
        <v>92441.6217929347</v>
      </c>
      <c r="C76" s="9" t="n">
        <f aca="false">-PMT(Inputs!$C$8,Inputs!$C$9,Inputs!$C$5)</f>
        <v>665.302495179183</v>
      </c>
      <c r="D76" s="9" t="n">
        <f aca="false">B76*Inputs!$C$8</f>
        <v>539.242793792119</v>
      </c>
      <c r="E76" s="9" t="n">
        <f aca="false">C76-D76</f>
        <v>126.059701387064</v>
      </c>
      <c r="F76" s="9" t="n">
        <f aca="false">B76-E76</f>
        <v>92315.5620915476</v>
      </c>
    </row>
    <row r="77" customFormat="false" ht="15" hidden="false" customHeight="false" outlineLevel="0" collapsed="false">
      <c r="A77" s="0" t="n">
        <v>76</v>
      </c>
      <c r="B77" s="9" t="n">
        <f aca="false">F76</f>
        <v>92315.5620915476</v>
      </c>
      <c r="C77" s="9" t="n">
        <f aca="false">-PMT(Inputs!$C$8,Inputs!$C$9,Inputs!$C$5)</f>
        <v>665.302495179183</v>
      </c>
      <c r="D77" s="9" t="n">
        <f aca="false">B77*Inputs!$C$8</f>
        <v>538.507445534028</v>
      </c>
      <c r="E77" s="9" t="n">
        <f aca="false">C77-D77</f>
        <v>126.795049645155</v>
      </c>
      <c r="F77" s="9" t="n">
        <f aca="false">B77-E77</f>
        <v>92188.7670419025</v>
      </c>
    </row>
    <row r="78" customFormat="false" ht="15" hidden="false" customHeight="false" outlineLevel="0" collapsed="false">
      <c r="A78" s="0" t="n">
        <v>77</v>
      </c>
      <c r="B78" s="9" t="n">
        <f aca="false">F77</f>
        <v>92188.7670419025</v>
      </c>
      <c r="C78" s="9" t="n">
        <f aca="false">-PMT(Inputs!$C$8,Inputs!$C$9,Inputs!$C$5)</f>
        <v>665.302495179183</v>
      </c>
      <c r="D78" s="9" t="n">
        <f aca="false">B78*Inputs!$C$8</f>
        <v>537.767807744431</v>
      </c>
      <c r="E78" s="9" t="n">
        <f aca="false">C78-D78</f>
        <v>127.534687434752</v>
      </c>
      <c r="F78" s="9" t="n">
        <f aca="false">B78-E78</f>
        <v>92061.2323544677</v>
      </c>
    </row>
    <row r="79" customFormat="false" ht="15" hidden="false" customHeight="false" outlineLevel="0" collapsed="false">
      <c r="A79" s="0" t="n">
        <v>78</v>
      </c>
      <c r="B79" s="9" t="n">
        <f aca="false">F78</f>
        <v>92061.2323544677</v>
      </c>
      <c r="C79" s="9" t="n">
        <f aca="false">-PMT(Inputs!$C$8,Inputs!$C$9,Inputs!$C$5)</f>
        <v>665.302495179183</v>
      </c>
      <c r="D79" s="9" t="n">
        <f aca="false">B79*Inputs!$C$8</f>
        <v>537.023855401062</v>
      </c>
      <c r="E79" s="9" t="n">
        <f aca="false">C79-D79</f>
        <v>128.278639778122</v>
      </c>
      <c r="F79" s="9" t="n">
        <f aca="false">B79-E79</f>
        <v>91932.9537146896</v>
      </c>
    </row>
    <row r="80" customFormat="false" ht="15" hidden="false" customHeight="false" outlineLevel="0" collapsed="false">
      <c r="A80" s="0" t="n">
        <v>79</v>
      </c>
      <c r="B80" s="9" t="n">
        <f aca="false">F79</f>
        <v>91932.9537146896</v>
      </c>
      <c r="C80" s="9" t="n">
        <f aca="false">-PMT(Inputs!$C$8,Inputs!$C$9,Inputs!$C$5)</f>
        <v>665.302495179183</v>
      </c>
      <c r="D80" s="9" t="n">
        <f aca="false">B80*Inputs!$C$8</f>
        <v>536.275563335689</v>
      </c>
      <c r="E80" s="9" t="n">
        <f aca="false">C80-D80</f>
        <v>129.026931843494</v>
      </c>
      <c r="F80" s="9" t="n">
        <f aca="false">B80-E80</f>
        <v>91803.9267828461</v>
      </c>
    </row>
    <row r="81" customFormat="false" ht="15" hidden="false" customHeight="false" outlineLevel="0" collapsed="false">
      <c r="A81" s="0" t="n">
        <v>80</v>
      </c>
      <c r="B81" s="9" t="n">
        <f aca="false">F80</f>
        <v>91803.9267828461</v>
      </c>
      <c r="C81" s="9" t="n">
        <f aca="false">-PMT(Inputs!$C$8,Inputs!$C$9,Inputs!$C$5)</f>
        <v>665.302495179183</v>
      </c>
      <c r="D81" s="9" t="n">
        <f aca="false">B81*Inputs!$C$8</f>
        <v>535.522906233269</v>
      </c>
      <c r="E81" s="9" t="n">
        <f aca="false">C81-D81</f>
        <v>129.779588945914</v>
      </c>
      <c r="F81" s="9" t="n">
        <f aca="false">B81-E81</f>
        <v>91674.1471939002</v>
      </c>
    </row>
    <row r="82" customFormat="false" ht="15" hidden="false" customHeight="false" outlineLevel="0" collapsed="false">
      <c r="A82" s="0" t="n">
        <v>81</v>
      </c>
      <c r="B82" s="9" t="n">
        <f aca="false">F81</f>
        <v>91674.1471939002</v>
      </c>
      <c r="C82" s="9" t="n">
        <f aca="false">-PMT(Inputs!$C$8,Inputs!$C$9,Inputs!$C$5)</f>
        <v>665.302495179183</v>
      </c>
      <c r="D82" s="9" t="n">
        <f aca="false">B82*Inputs!$C$8</f>
        <v>534.765858631085</v>
      </c>
      <c r="E82" s="9" t="n">
        <f aca="false">C82-D82</f>
        <v>130.536636548099</v>
      </c>
      <c r="F82" s="9" t="n">
        <f aca="false">B82-E82</f>
        <v>91543.6105573521</v>
      </c>
    </row>
    <row r="83" customFormat="false" ht="15" hidden="false" customHeight="false" outlineLevel="0" collapsed="false">
      <c r="A83" s="0" t="n">
        <v>82</v>
      </c>
      <c r="B83" s="9" t="n">
        <f aca="false">F82</f>
        <v>91543.6105573521</v>
      </c>
      <c r="C83" s="9" t="n">
        <f aca="false">-PMT(Inputs!$C$8,Inputs!$C$9,Inputs!$C$5)</f>
        <v>665.302495179183</v>
      </c>
      <c r="D83" s="9" t="n">
        <f aca="false">B83*Inputs!$C$8</f>
        <v>534.004394917887</v>
      </c>
      <c r="E83" s="9" t="n">
        <f aca="false">C83-D83</f>
        <v>131.298100261296</v>
      </c>
      <c r="F83" s="9" t="n">
        <f aca="false">B83-E83</f>
        <v>91412.3124570908</v>
      </c>
    </row>
    <row r="84" customFormat="false" ht="15" hidden="false" customHeight="false" outlineLevel="0" collapsed="false">
      <c r="A84" s="0" t="n">
        <v>83</v>
      </c>
      <c r="B84" s="9" t="n">
        <f aca="false">F83</f>
        <v>91412.3124570908</v>
      </c>
      <c r="C84" s="9" t="n">
        <f aca="false">-PMT(Inputs!$C$8,Inputs!$C$9,Inputs!$C$5)</f>
        <v>665.302495179183</v>
      </c>
      <c r="D84" s="9" t="n">
        <f aca="false">B84*Inputs!$C$8</f>
        <v>533.23848933303</v>
      </c>
      <c r="E84" s="9" t="n">
        <f aca="false">C84-D84</f>
        <v>132.064005846153</v>
      </c>
      <c r="F84" s="9" t="n">
        <f aca="false">B84-E84</f>
        <v>91280.2484512447</v>
      </c>
    </row>
    <row r="85" customFormat="false" ht="15" hidden="false" customHeight="false" outlineLevel="0" collapsed="false">
      <c r="A85" s="0" t="n">
        <v>84</v>
      </c>
      <c r="B85" s="9" t="n">
        <f aca="false">F84</f>
        <v>91280.2484512447</v>
      </c>
      <c r="C85" s="9" t="n">
        <f aca="false">-PMT(Inputs!$C$8,Inputs!$C$9,Inputs!$C$5)</f>
        <v>665.302495179183</v>
      </c>
      <c r="D85" s="9" t="n">
        <f aca="false">B85*Inputs!$C$8</f>
        <v>532.468115965594</v>
      </c>
      <c r="E85" s="9" t="n">
        <f aca="false">C85-D85</f>
        <v>132.834379213589</v>
      </c>
      <c r="F85" s="9" t="n">
        <f aca="false">B85-E85</f>
        <v>91147.4140720311</v>
      </c>
    </row>
    <row r="86" customFormat="false" ht="15" hidden="false" customHeight="false" outlineLevel="0" collapsed="false">
      <c r="A86" s="0" t="n">
        <v>85</v>
      </c>
      <c r="B86" s="9" t="n">
        <f aca="false">F85</f>
        <v>91147.4140720311</v>
      </c>
      <c r="C86" s="9" t="n">
        <f aca="false">-PMT(Inputs!$C$8,Inputs!$C$9,Inputs!$C$5)</f>
        <v>665.302495179183</v>
      </c>
      <c r="D86" s="9" t="n">
        <f aca="false">B86*Inputs!$C$8</f>
        <v>531.693248753515</v>
      </c>
      <c r="E86" s="9" t="n">
        <f aca="false">C86-D86</f>
        <v>133.609246425669</v>
      </c>
      <c r="F86" s="9" t="n">
        <f aca="false">B86-E86</f>
        <v>91013.8048256054</v>
      </c>
    </row>
    <row r="87" customFormat="false" ht="15" hidden="false" customHeight="false" outlineLevel="0" collapsed="false">
      <c r="A87" s="0" t="n">
        <v>86</v>
      </c>
      <c r="B87" s="9" t="n">
        <f aca="false">F86</f>
        <v>91013.8048256054</v>
      </c>
      <c r="C87" s="9" t="n">
        <f aca="false">-PMT(Inputs!$C$8,Inputs!$C$9,Inputs!$C$5)</f>
        <v>665.302495179183</v>
      </c>
      <c r="D87" s="9" t="n">
        <f aca="false">B87*Inputs!$C$8</f>
        <v>530.913861482698</v>
      </c>
      <c r="E87" s="9" t="n">
        <f aca="false">C87-D87</f>
        <v>134.388633696485</v>
      </c>
      <c r="F87" s="9" t="n">
        <f aca="false">B87-E87</f>
        <v>90879.4161919089</v>
      </c>
    </row>
    <row r="88" customFormat="false" ht="15" hidden="false" customHeight="false" outlineLevel="0" collapsed="false">
      <c r="A88" s="0" t="n">
        <v>87</v>
      </c>
      <c r="B88" s="9" t="n">
        <f aca="false">F87</f>
        <v>90879.4161919089</v>
      </c>
      <c r="C88" s="9" t="n">
        <f aca="false">-PMT(Inputs!$C$8,Inputs!$C$9,Inputs!$C$5)</f>
        <v>665.302495179183</v>
      </c>
      <c r="D88" s="9" t="n">
        <f aca="false">B88*Inputs!$C$8</f>
        <v>530.129927786136</v>
      </c>
      <c r="E88" s="9" t="n">
        <f aca="false">C88-D88</f>
        <v>135.172567393048</v>
      </c>
      <c r="F88" s="9" t="n">
        <f aca="false">B88-E88</f>
        <v>90744.2436245159</v>
      </c>
    </row>
    <row r="89" customFormat="false" ht="15" hidden="false" customHeight="false" outlineLevel="0" collapsed="false">
      <c r="A89" s="0" t="n">
        <v>88</v>
      </c>
      <c r="B89" s="9" t="n">
        <f aca="false">F88</f>
        <v>90744.2436245159</v>
      </c>
      <c r="C89" s="9" t="n">
        <f aca="false">-PMT(Inputs!$C$8,Inputs!$C$9,Inputs!$C$5)</f>
        <v>665.302495179183</v>
      </c>
      <c r="D89" s="9" t="n">
        <f aca="false">B89*Inputs!$C$8</f>
        <v>529.341421143009</v>
      </c>
      <c r="E89" s="9" t="n">
        <f aca="false">C89-D89</f>
        <v>135.961074036174</v>
      </c>
      <c r="F89" s="9" t="n">
        <f aca="false">B89-E89</f>
        <v>90608.2825504797</v>
      </c>
    </row>
    <row r="90" customFormat="false" ht="15" hidden="false" customHeight="false" outlineLevel="0" collapsed="false">
      <c r="A90" s="0" t="n">
        <v>89</v>
      </c>
      <c r="B90" s="9" t="n">
        <f aca="false">F89</f>
        <v>90608.2825504797</v>
      </c>
      <c r="C90" s="9" t="n">
        <f aca="false">-PMT(Inputs!$C$8,Inputs!$C$9,Inputs!$C$5)</f>
        <v>665.302495179183</v>
      </c>
      <c r="D90" s="9" t="n">
        <f aca="false">B90*Inputs!$C$8</f>
        <v>528.548314877798</v>
      </c>
      <c r="E90" s="9" t="n">
        <f aca="false">C90-D90</f>
        <v>136.754180301385</v>
      </c>
      <c r="F90" s="9" t="n">
        <f aca="false">B90-E90</f>
        <v>90471.5283701783</v>
      </c>
    </row>
    <row r="91" customFormat="false" ht="15" hidden="false" customHeight="false" outlineLevel="0" collapsed="false">
      <c r="A91" s="0" t="n">
        <v>90</v>
      </c>
      <c r="B91" s="9" t="n">
        <f aca="false">F90</f>
        <v>90471.5283701783</v>
      </c>
      <c r="C91" s="9" t="n">
        <f aca="false">-PMT(Inputs!$C$8,Inputs!$C$9,Inputs!$C$5)</f>
        <v>665.302495179183</v>
      </c>
      <c r="D91" s="9" t="n">
        <f aca="false">B91*Inputs!$C$8</f>
        <v>527.750582159374</v>
      </c>
      <c r="E91" s="9" t="n">
        <f aca="false">C91-D91</f>
        <v>137.55191301981</v>
      </c>
      <c r="F91" s="9" t="n">
        <f aca="false">B91-E91</f>
        <v>90333.9764571585</v>
      </c>
    </row>
    <row r="92" customFormat="false" ht="15" hidden="false" customHeight="false" outlineLevel="0" collapsed="false">
      <c r="A92" s="0" t="n">
        <v>91</v>
      </c>
      <c r="B92" s="9" t="n">
        <f aca="false">F91</f>
        <v>90333.9764571585</v>
      </c>
      <c r="C92" s="9" t="n">
        <f aca="false">-PMT(Inputs!$C$8,Inputs!$C$9,Inputs!$C$5)</f>
        <v>665.302495179183</v>
      </c>
      <c r="D92" s="9" t="n">
        <f aca="false">B92*Inputs!$C$8</f>
        <v>526.948196000091</v>
      </c>
      <c r="E92" s="9" t="n">
        <f aca="false">C92-D92</f>
        <v>138.354299179092</v>
      </c>
      <c r="F92" s="9" t="n">
        <f aca="false">B92-E92</f>
        <v>90195.6221579794</v>
      </c>
    </row>
    <row r="93" customFormat="false" ht="15" hidden="false" customHeight="false" outlineLevel="0" collapsed="false">
      <c r="A93" s="0" t="n">
        <v>92</v>
      </c>
      <c r="B93" s="9" t="n">
        <f aca="false">F92</f>
        <v>90195.6221579794</v>
      </c>
      <c r="C93" s="9" t="n">
        <f aca="false">-PMT(Inputs!$C$8,Inputs!$C$9,Inputs!$C$5)</f>
        <v>665.302495179183</v>
      </c>
      <c r="D93" s="9" t="n">
        <f aca="false">B93*Inputs!$C$8</f>
        <v>526.14112925488</v>
      </c>
      <c r="E93" s="9" t="n">
        <f aca="false">C93-D93</f>
        <v>139.161365924303</v>
      </c>
      <c r="F93" s="9" t="n">
        <f aca="false">B93-E93</f>
        <v>90056.4607920551</v>
      </c>
    </row>
    <row r="94" customFormat="false" ht="15" hidden="false" customHeight="false" outlineLevel="0" collapsed="false">
      <c r="A94" s="0" t="n">
        <v>93</v>
      </c>
      <c r="B94" s="9" t="n">
        <f aca="false">F93</f>
        <v>90056.4607920551</v>
      </c>
      <c r="C94" s="9" t="n">
        <f aca="false">-PMT(Inputs!$C$8,Inputs!$C$9,Inputs!$C$5)</f>
        <v>665.302495179183</v>
      </c>
      <c r="D94" s="9" t="n">
        <f aca="false">B94*Inputs!$C$8</f>
        <v>525.329354620322</v>
      </c>
      <c r="E94" s="9" t="n">
        <f aca="false">C94-D94</f>
        <v>139.973140558862</v>
      </c>
      <c r="F94" s="9" t="n">
        <f aca="false">B94-E94</f>
        <v>89916.4876514963</v>
      </c>
    </row>
    <row r="95" customFormat="false" ht="15" hidden="false" customHeight="false" outlineLevel="0" collapsed="false">
      <c r="A95" s="0" t="n">
        <v>94</v>
      </c>
      <c r="B95" s="9" t="n">
        <f aca="false">F94</f>
        <v>89916.4876514963</v>
      </c>
      <c r="C95" s="9" t="n">
        <f aca="false">-PMT(Inputs!$C$8,Inputs!$C$9,Inputs!$C$5)</f>
        <v>665.302495179183</v>
      </c>
      <c r="D95" s="9" t="n">
        <f aca="false">B95*Inputs!$C$8</f>
        <v>524.512844633728</v>
      </c>
      <c r="E95" s="9" t="n">
        <f aca="false">C95-D95</f>
        <v>140.789650545455</v>
      </c>
      <c r="F95" s="9" t="n">
        <f aca="false">B95-E95</f>
        <v>89775.6980009508</v>
      </c>
    </row>
    <row r="96" customFormat="false" ht="15" hidden="false" customHeight="false" outlineLevel="0" collapsed="false">
      <c r="A96" s="0" t="n">
        <v>95</v>
      </c>
      <c r="B96" s="9" t="n">
        <f aca="false">F95</f>
        <v>89775.6980009508</v>
      </c>
      <c r="C96" s="9" t="n">
        <f aca="false">-PMT(Inputs!$C$8,Inputs!$C$9,Inputs!$C$5)</f>
        <v>665.302495179183</v>
      </c>
      <c r="D96" s="9" t="n">
        <f aca="false">B96*Inputs!$C$8</f>
        <v>523.691571672213</v>
      </c>
      <c r="E96" s="9" t="n">
        <f aca="false">C96-D96</f>
        <v>141.61092350697</v>
      </c>
      <c r="F96" s="9" t="n">
        <f aca="false">B96-E96</f>
        <v>89634.0870774438</v>
      </c>
    </row>
    <row r="97" customFormat="false" ht="15" hidden="false" customHeight="false" outlineLevel="0" collapsed="false">
      <c r="A97" s="0" t="n">
        <v>96</v>
      </c>
      <c r="B97" s="9" t="n">
        <f aca="false">F96</f>
        <v>89634.0870774438</v>
      </c>
      <c r="C97" s="9" t="n">
        <f aca="false">-PMT(Inputs!$C$8,Inputs!$C$9,Inputs!$C$5)</f>
        <v>665.302495179183</v>
      </c>
      <c r="D97" s="9" t="n">
        <f aca="false">B97*Inputs!$C$8</f>
        <v>522.865507951756</v>
      </c>
      <c r="E97" s="9" t="n">
        <f aca="false">C97-D97</f>
        <v>142.436987227428</v>
      </c>
      <c r="F97" s="9" t="n">
        <f aca="false">B97-E97</f>
        <v>89491.6500902164</v>
      </c>
    </row>
    <row r="98" customFormat="false" ht="15" hidden="false" customHeight="false" outlineLevel="0" collapsed="false">
      <c r="A98" s="0" t="n">
        <v>97</v>
      </c>
      <c r="B98" s="9" t="n">
        <f aca="false">F97</f>
        <v>89491.6500902164</v>
      </c>
      <c r="C98" s="9" t="n">
        <f aca="false">-PMT(Inputs!$C$8,Inputs!$C$9,Inputs!$C$5)</f>
        <v>665.302495179183</v>
      </c>
      <c r="D98" s="9" t="n">
        <f aca="false">B98*Inputs!$C$8</f>
        <v>522.034625526262</v>
      </c>
      <c r="E98" s="9" t="n">
        <f aca="false">C98-D98</f>
        <v>143.267869652921</v>
      </c>
      <c r="F98" s="9" t="n">
        <f aca="false">B98-E98</f>
        <v>89348.3822205635</v>
      </c>
    </row>
    <row r="99" customFormat="false" ht="15" hidden="false" customHeight="false" outlineLevel="0" collapsed="false">
      <c r="A99" s="0" t="n">
        <v>98</v>
      </c>
      <c r="B99" s="9" t="n">
        <f aca="false">F98</f>
        <v>89348.3822205635</v>
      </c>
      <c r="C99" s="9" t="n">
        <f aca="false">-PMT(Inputs!$C$8,Inputs!$C$9,Inputs!$C$5)</f>
        <v>665.302495179183</v>
      </c>
      <c r="D99" s="9" t="n">
        <f aca="false">B99*Inputs!$C$8</f>
        <v>521.19889628662</v>
      </c>
      <c r="E99" s="9" t="n">
        <f aca="false">C99-D99</f>
        <v>144.103598892563</v>
      </c>
      <c r="F99" s="9" t="n">
        <f aca="false">B99-E99</f>
        <v>89204.2786216709</v>
      </c>
    </row>
    <row r="100" customFormat="false" ht="15" hidden="false" customHeight="false" outlineLevel="0" collapsed="false">
      <c r="A100" s="0" t="n">
        <v>99</v>
      </c>
      <c r="B100" s="9" t="n">
        <f aca="false">F99</f>
        <v>89204.2786216709</v>
      </c>
      <c r="C100" s="9" t="n">
        <f aca="false">-PMT(Inputs!$C$8,Inputs!$C$9,Inputs!$C$5)</f>
        <v>665.302495179183</v>
      </c>
      <c r="D100" s="9" t="n">
        <f aca="false">B100*Inputs!$C$8</f>
        <v>520.358291959747</v>
      </c>
      <c r="E100" s="9" t="n">
        <f aca="false">C100-D100</f>
        <v>144.944203219436</v>
      </c>
      <c r="F100" s="9" t="n">
        <f aca="false">B100-E100</f>
        <v>89059.3344184515</v>
      </c>
    </row>
    <row r="101" customFormat="false" ht="15" hidden="false" customHeight="false" outlineLevel="0" collapsed="false">
      <c r="A101" s="0" t="n">
        <v>100</v>
      </c>
      <c r="B101" s="9" t="n">
        <f aca="false">F100</f>
        <v>89059.3344184515</v>
      </c>
      <c r="C101" s="9" t="n">
        <f aca="false">-PMT(Inputs!$C$8,Inputs!$C$9,Inputs!$C$5)</f>
        <v>665.302495179183</v>
      </c>
      <c r="D101" s="9" t="n">
        <f aca="false">B101*Inputs!$C$8</f>
        <v>519.512784107634</v>
      </c>
      <c r="E101" s="9" t="n">
        <f aca="false">C101-D101</f>
        <v>145.78971107155</v>
      </c>
      <c r="F101" s="9" t="n">
        <f aca="false">B101-E101</f>
        <v>88913.5447073799</v>
      </c>
    </row>
    <row r="102" customFormat="false" ht="15" hidden="false" customHeight="false" outlineLevel="0" collapsed="false">
      <c r="A102" s="0" t="n">
        <v>101</v>
      </c>
      <c r="B102" s="9" t="n">
        <f aca="false">F101</f>
        <v>88913.5447073799</v>
      </c>
      <c r="C102" s="9" t="n">
        <f aca="false">-PMT(Inputs!$C$8,Inputs!$C$9,Inputs!$C$5)</f>
        <v>665.302495179183</v>
      </c>
      <c r="D102" s="9" t="n">
        <f aca="false">B102*Inputs!$C$8</f>
        <v>518.662344126383</v>
      </c>
      <c r="E102" s="9" t="n">
        <f aca="false">C102-D102</f>
        <v>146.6401510528</v>
      </c>
      <c r="F102" s="9" t="n">
        <f aca="false">B102-E102</f>
        <v>88766.9045563271</v>
      </c>
    </row>
    <row r="103" customFormat="false" ht="15" hidden="false" customHeight="false" outlineLevel="0" collapsed="false">
      <c r="A103" s="0" t="n">
        <v>102</v>
      </c>
      <c r="B103" s="9" t="n">
        <f aca="false">F102</f>
        <v>88766.9045563271</v>
      </c>
      <c r="C103" s="9" t="n">
        <f aca="false">-PMT(Inputs!$C$8,Inputs!$C$9,Inputs!$C$5)</f>
        <v>665.302495179183</v>
      </c>
      <c r="D103" s="9" t="n">
        <f aca="false">B103*Inputs!$C$8</f>
        <v>517.806943245242</v>
      </c>
      <c r="E103" s="9" t="n">
        <f aca="false">C103-D103</f>
        <v>147.495551933942</v>
      </c>
      <c r="F103" s="9" t="n">
        <f aca="false">B103-E103</f>
        <v>88619.4090043932</v>
      </c>
    </row>
    <row r="104" customFormat="false" ht="15" hidden="false" customHeight="false" outlineLevel="0" collapsed="false">
      <c r="A104" s="0" t="n">
        <v>103</v>
      </c>
      <c r="B104" s="9" t="n">
        <f aca="false">F103</f>
        <v>88619.4090043932</v>
      </c>
      <c r="C104" s="9" t="n">
        <f aca="false">-PMT(Inputs!$C$8,Inputs!$C$9,Inputs!$C$5)</f>
        <v>665.302495179183</v>
      </c>
      <c r="D104" s="9" t="n">
        <f aca="false">B104*Inputs!$C$8</f>
        <v>516.946552525627</v>
      </c>
      <c r="E104" s="9" t="n">
        <f aca="false">C104-D104</f>
        <v>148.355942653556</v>
      </c>
      <c r="F104" s="9" t="n">
        <f aca="false">B104-E104</f>
        <v>88471.0530617396</v>
      </c>
    </row>
    <row r="105" customFormat="false" ht="15" hidden="false" customHeight="false" outlineLevel="0" collapsed="false">
      <c r="A105" s="0" t="n">
        <v>104</v>
      </c>
      <c r="B105" s="9" t="n">
        <f aca="false">F104</f>
        <v>88471.0530617396</v>
      </c>
      <c r="C105" s="9" t="n">
        <f aca="false">-PMT(Inputs!$C$8,Inputs!$C$9,Inputs!$C$5)</f>
        <v>665.302495179183</v>
      </c>
      <c r="D105" s="9" t="n">
        <f aca="false">B105*Inputs!$C$8</f>
        <v>516.081142860148</v>
      </c>
      <c r="E105" s="9" t="n">
        <f aca="false">C105-D105</f>
        <v>149.221352319035</v>
      </c>
      <c r="F105" s="9" t="n">
        <f aca="false">B105-E105</f>
        <v>88321.8317094206</v>
      </c>
    </row>
    <row r="106" customFormat="false" ht="15" hidden="false" customHeight="false" outlineLevel="0" collapsed="false">
      <c r="A106" s="0" t="n">
        <v>105</v>
      </c>
      <c r="B106" s="9" t="n">
        <f aca="false">F105</f>
        <v>88321.8317094206</v>
      </c>
      <c r="C106" s="9" t="n">
        <f aca="false">-PMT(Inputs!$C$8,Inputs!$C$9,Inputs!$C$5)</f>
        <v>665.302495179183</v>
      </c>
      <c r="D106" s="9" t="n">
        <f aca="false">B106*Inputs!$C$8</f>
        <v>515.21068497162</v>
      </c>
      <c r="E106" s="9" t="n">
        <f aca="false">C106-D106</f>
        <v>150.091810207563</v>
      </c>
      <c r="F106" s="9" t="n">
        <f aca="false">B106-E106</f>
        <v>88171.7398992131</v>
      </c>
    </row>
    <row r="107" customFormat="false" ht="15" hidden="false" customHeight="false" outlineLevel="0" collapsed="false">
      <c r="A107" s="0" t="n">
        <v>106</v>
      </c>
      <c r="B107" s="9" t="n">
        <f aca="false">F106</f>
        <v>88171.7398992131</v>
      </c>
      <c r="C107" s="9" t="n">
        <f aca="false">-PMT(Inputs!$C$8,Inputs!$C$9,Inputs!$C$5)</f>
        <v>665.302495179183</v>
      </c>
      <c r="D107" s="9" t="n">
        <f aca="false">B107*Inputs!$C$8</f>
        <v>514.335149412076</v>
      </c>
      <c r="E107" s="9" t="n">
        <f aca="false">C107-D107</f>
        <v>150.967345767107</v>
      </c>
      <c r="F107" s="9" t="n">
        <f aca="false">B107-E107</f>
        <v>88020.772553446</v>
      </c>
    </row>
    <row r="108" customFormat="false" ht="15" hidden="false" customHeight="false" outlineLevel="0" collapsed="false">
      <c r="A108" s="0" t="n">
        <v>107</v>
      </c>
      <c r="B108" s="9" t="n">
        <f aca="false">F107</f>
        <v>88020.772553446</v>
      </c>
      <c r="C108" s="9" t="n">
        <f aca="false">-PMT(Inputs!$C$8,Inputs!$C$9,Inputs!$C$5)</f>
        <v>665.302495179183</v>
      </c>
      <c r="D108" s="9" t="n">
        <f aca="false">B108*Inputs!$C$8</f>
        <v>513.454506561768</v>
      </c>
      <c r="E108" s="9" t="n">
        <f aca="false">C108-D108</f>
        <v>151.847988617415</v>
      </c>
      <c r="F108" s="9" t="n">
        <f aca="false">B108-E108</f>
        <v>87868.9245648285</v>
      </c>
    </row>
    <row r="109" customFormat="false" ht="15" hidden="false" customHeight="false" outlineLevel="0" collapsed="false">
      <c r="A109" s="0" t="n">
        <v>108</v>
      </c>
      <c r="B109" s="9" t="n">
        <f aca="false">F108</f>
        <v>87868.9245648285</v>
      </c>
      <c r="C109" s="9" t="n">
        <f aca="false">-PMT(Inputs!$C$8,Inputs!$C$9,Inputs!$C$5)</f>
        <v>665.302495179183</v>
      </c>
      <c r="D109" s="9" t="n">
        <f aca="false">B109*Inputs!$C$8</f>
        <v>512.568726628167</v>
      </c>
      <c r="E109" s="9" t="n">
        <f aca="false">C109-D109</f>
        <v>152.733768551017</v>
      </c>
      <c r="F109" s="9" t="n">
        <f aca="false">B109-E109</f>
        <v>87716.1907962775</v>
      </c>
    </row>
    <row r="110" customFormat="false" ht="15" hidden="false" customHeight="false" outlineLevel="0" collapsed="false">
      <c r="A110" s="0" t="n">
        <v>109</v>
      </c>
      <c r="B110" s="9" t="n">
        <f aca="false">F109</f>
        <v>87716.1907962775</v>
      </c>
      <c r="C110" s="9" t="n">
        <f aca="false">-PMT(Inputs!$C$8,Inputs!$C$9,Inputs!$C$5)</f>
        <v>665.302495179183</v>
      </c>
      <c r="D110" s="9" t="n">
        <f aca="false">B110*Inputs!$C$8</f>
        <v>511.677779644952</v>
      </c>
      <c r="E110" s="9" t="n">
        <f aca="false">C110-D110</f>
        <v>153.624715534231</v>
      </c>
      <c r="F110" s="9" t="n">
        <f aca="false">B110-E110</f>
        <v>87562.5660807433</v>
      </c>
    </row>
    <row r="111" customFormat="false" ht="15" hidden="false" customHeight="false" outlineLevel="0" collapsed="false">
      <c r="A111" s="0" t="n">
        <v>110</v>
      </c>
      <c r="B111" s="9" t="n">
        <f aca="false">F110</f>
        <v>87562.5660807433</v>
      </c>
      <c r="C111" s="9" t="n">
        <f aca="false">-PMT(Inputs!$C$8,Inputs!$C$9,Inputs!$C$5)</f>
        <v>665.302495179183</v>
      </c>
      <c r="D111" s="9" t="n">
        <f aca="false">B111*Inputs!$C$8</f>
        <v>510.781635471003</v>
      </c>
      <c r="E111" s="9" t="n">
        <f aca="false">C111-D111</f>
        <v>154.520859708181</v>
      </c>
      <c r="F111" s="9" t="n">
        <f aca="false">B111-E111</f>
        <v>87408.0452210351</v>
      </c>
    </row>
    <row r="112" customFormat="false" ht="15" hidden="false" customHeight="false" outlineLevel="0" collapsed="false">
      <c r="A112" s="0" t="n">
        <v>111</v>
      </c>
      <c r="B112" s="9" t="n">
        <f aca="false">F111</f>
        <v>87408.0452210351</v>
      </c>
      <c r="C112" s="9" t="n">
        <f aca="false">-PMT(Inputs!$C$8,Inputs!$C$9,Inputs!$C$5)</f>
        <v>665.302495179183</v>
      </c>
      <c r="D112" s="9" t="n">
        <f aca="false">B112*Inputs!$C$8</f>
        <v>509.880263789372</v>
      </c>
      <c r="E112" s="9" t="n">
        <f aca="false">C112-D112</f>
        <v>155.422231389812</v>
      </c>
      <c r="F112" s="9" t="n">
        <f aca="false">B112-E112</f>
        <v>87252.6229896453</v>
      </c>
    </row>
    <row r="113" customFormat="false" ht="15" hidden="false" customHeight="false" outlineLevel="0" collapsed="false">
      <c r="A113" s="0" t="n">
        <v>112</v>
      </c>
      <c r="B113" s="9" t="n">
        <f aca="false">F112</f>
        <v>87252.6229896453</v>
      </c>
      <c r="C113" s="9" t="n">
        <f aca="false">-PMT(Inputs!$C$8,Inputs!$C$9,Inputs!$C$5)</f>
        <v>665.302495179183</v>
      </c>
      <c r="D113" s="9" t="n">
        <f aca="false">B113*Inputs!$C$8</f>
        <v>508.973634106264</v>
      </c>
      <c r="E113" s="9" t="n">
        <f aca="false">C113-D113</f>
        <v>156.328861072919</v>
      </c>
      <c r="F113" s="9" t="n">
        <f aca="false">B113-E113</f>
        <v>87096.2941285724</v>
      </c>
    </row>
    <row r="114" customFormat="false" ht="15" hidden="false" customHeight="false" outlineLevel="0" collapsed="false">
      <c r="A114" s="0" t="n">
        <v>113</v>
      </c>
      <c r="B114" s="9" t="n">
        <f aca="false">F113</f>
        <v>87096.2941285724</v>
      </c>
      <c r="C114" s="9" t="n">
        <f aca="false">-PMT(Inputs!$C$8,Inputs!$C$9,Inputs!$C$5)</f>
        <v>665.302495179183</v>
      </c>
      <c r="D114" s="9" t="n">
        <f aca="false">B114*Inputs!$C$8</f>
        <v>508.061715750006</v>
      </c>
      <c r="E114" s="9" t="n">
        <f aca="false">C114-D114</f>
        <v>157.240779429178</v>
      </c>
      <c r="F114" s="9" t="n">
        <f aca="false">B114-E114</f>
        <v>86939.0533491432</v>
      </c>
    </row>
    <row r="115" customFormat="false" ht="15" hidden="false" customHeight="false" outlineLevel="0" collapsed="false">
      <c r="A115" s="0" t="n">
        <v>114</v>
      </c>
      <c r="B115" s="9" t="n">
        <f aca="false">F114</f>
        <v>86939.0533491432</v>
      </c>
      <c r="C115" s="9" t="n">
        <f aca="false">-PMT(Inputs!$C$8,Inputs!$C$9,Inputs!$C$5)</f>
        <v>665.302495179183</v>
      </c>
      <c r="D115" s="9" t="n">
        <f aca="false">B115*Inputs!$C$8</f>
        <v>507.144477870002</v>
      </c>
      <c r="E115" s="9" t="n">
        <f aca="false">C115-D115</f>
        <v>158.158017309181</v>
      </c>
      <c r="F115" s="9" t="n">
        <f aca="false">B115-E115</f>
        <v>86780.895331834</v>
      </c>
    </row>
    <row r="116" customFormat="false" ht="15" hidden="false" customHeight="false" outlineLevel="0" collapsed="false">
      <c r="A116" s="0" t="n">
        <v>115</v>
      </c>
      <c r="B116" s="9" t="n">
        <f aca="false">F115</f>
        <v>86780.895331834</v>
      </c>
      <c r="C116" s="9" t="n">
        <f aca="false">-PMT(Inputs!$C$8,Inputs!$C$9,Inputs!$C$5)</f>
        <v>665.302495179183</v>
      </c>
      <c r="D116" s="9" t="n">
        <f aca="false">B116*Inputs!$C$8</f>
        <v>506.221889435699</v>
      </c>
      <c r="E116" s="9" t="n">
        <f aca="false">C116-D116</f>
        <v>159.080605743485</v>
      </c>
      <c r="F116" s="9" t="n">
        <f aca="false">B116-E116</f>
        <v>86621.8147260905</v>
      </c>
    </row>
    <row r="117" customFormat="false" ht="15" hidden="false" customHeight="false" outlineLevel="0" collapsed="false">
      <c r="A117" s="0" t="n">
        <v>116</v>
      </c>
      <c r="B117" s="9" t="n">
        <f aca="false">F116</f>
        <v>86621.8147260905</v>
      </c>
      <c r="C117" s="9" t="n">
        <f aca="false">-PMT(Inputs!$C$8,Inputs!$C$9,Inputs!$C$5)</f>
        <v>665.302495179183</v>
      </c>
      <c r="D117" s="9" t="n">
        <f aca="false">B117*Inputs!$C$8</f>
        <v>505.293919235528</v>
      </c>
      <c r="E117" s="9" t="n">
        <f aca="false">C117-D117</f>
        <v>160.008575943655</v>
      </c>
      <c r="F117" s="9" t="n">
        <f aca="false">B117-E117</f>
        <v>86461.8061501469</v>
      </c>
    </row>
    <row r="118" customFormat="false" ht="15" hidden="false" customHeight="false" outlineLevel="0" collapsed="false">
      <c r="A118" s="0" t="n">
        <v>117</v>
      </c>
      <c r="B118" s="9" t="n">
        <f aca="false">F117</f>
        <v>86461.8061501469</v>
      </c>
      <c r="C118" s="9" t="n">
        <f aca="false">-PMT(Inputs!$C$8,Inputs!$C$9,Inputs!$C$5)</f>
        <v>665.302495179183</v>
      </c>
      <c r="D118" s="9" t="n">
        <f aca="false">B118*Inputs!$C$8</f>
        <v>504.360535875857</v>
      </c>
      <c r="E118" s="9" t="n">
        <f aca="false">C118-D118</f>
        <v>160.941959303326</v>
      </c>
      <c r="F118" s="9" t="n">
        <f aca="false">B118-E118</f>
        <v>86300.8641908436</v>
      </c>
    </row>
    <row r="119" customFormat="false" ht="15" hidden="false" customHeight="false" outlineLevel="0" collapsed="false">
      <c r="A119" s="0" t="n">
        <v>118</v>
      </c>
      <c r="B119" s="9" t="n">
        <f aca="false">F118</f>
        <v>86300.8641908436</v>
      </c>
      <c r="C119" s="9" t="n">
        <f aca="false">-PMT(Inputs!$C$8,Inputs!$C$9,Inputs!$C$5)</f>
        <v>665.302495179183</v>
      </c>
      <c r="D119" s="9" t="n">
        <f aca="false">B119*Inputs!$C$8</f>
        <v>503.421707779921</v>
      </c>
      <c r="E119" s="9" t="n">
        <f aca="false">C119-D119</f>
        <v>161.880787399262</v>
      </c>
      <c r="F119" s="9" t="n">
        <f aca="false">B119-E119</f>
        <v>86138.9834034443</v>
      </c>
    </row>
    <row r="120" customFormat="false" ht="15" hidden="false" customHeight="false" outlineLevel="0" collapsed="false">
      <c r="A120" s="0" t="n">
        <v>119</v>
      </c>
      <c r="B120" s="9" t="n">
        <f aca="false">F119</f>
        <v>86138.9834034443</v>
      </c>
      <c r="C120" s="9" t="n">
        <f aca="false">-PMT(Inputs!$C$8,Inputs!$C$9,Inputs!$C$5)</f>
        <v>665.302495179183</v>
      </c>
      <c r="D120" s="9" t="n">
        <f aca="false">B120*Inputs!$C$8</f>
        <v>502.477403186758</v>
      </c>
      <c r="E120" s="9" t="n">
        <f aca="false">C120-D120</f>
        <v>162.825091992425</v>
      </c>
      <c r="F120" s="9" t="n">
        <f aca="false">B120-E120</f>
        <v>85976.1583114519</v>
      </c>
    </row>
    <row r="121" customFormat="false" ht="15" hidden="false" customHeight="false" outlineLevel="0" collapsed="false">
      <c r="A121" s="0" t="n">
        <v>120</v>
      </c>
      <c r="B121" s="9" t="n">
        <f aca="false">F120</f>
        <v>85976.1583114519</v>
      </c>
      <c r="C121" s="9" t="n">
        <f aca="false">-PMT(Inputs!$C$8,Inputs!$C$9,Inputs!$C$5)</f>
        <v>665.302495179183</v>
      </c>
      <c r="D121" s="9" t="n">
        <f aca="false">B121*Inputs!$C$8</f>
        <v>501.527590150136</v>
      </c>
      <c r="E121" s="9" t="n">
        <f aca="false">C121-D121</f>
        <v>163.774905029047</v>
      </c>
      <c r="F121" s="9" t="n">
        <f aca="false">B121-E121</f>
        <v>85812.3834064228</v>
      </c>
    </row>
    <row r="122" customFormat="false" ht="15" hidden="false" customHeight="false" outlineLevel="0" collapsed="false">
      <c r="A122" s="0" t="n">
        <v>121</v>
      </c>
      <c r="B122" s="9" t="n">
        <f aca="false">F121</f>
        <v>85812.3834064228</v>
      </c>
      <c r="C122" s="9" t="n">
        <f aca="false">-PMT(Inputs!$C$8,Inputs!$C$9,Inputs!$C$5)</f>
        <v>665.302495179183</v>
      </c>
      <c r="D122" s="9" t="n">
        <f aca="false">B122*Inputs!$C$8</f>
        <v>500.572236537467</v>
      </c>
      <c r="E122" s="9" t="n">
        <f aca="false">C122-D122</f>
        <v>164.730258641717</v>
      </c>
      <c r="F122" s="9" t="n">
        <f aca="false">B122-E122</f>
        <v>85647.6531477811</v>
      </c>
    </row>
    <row r="123" customFormat="false" ht="15" hidden="false" customHeight="false" outlineLevel="0" collapsed="false">
      <c r="A123" s="0" t="n">
        <v>122</v>
      </c>
      <c r="B123" s="9" t="n">
        <f aca="false">F122</f>
        <v>85647.6531477811</v>
      </c>
      <c r="C123" s="9" t="n">
        <f aca="false">-PMT(Inputs!$C$8,Inputs!$C$9,Inputs!$C$5)</f>
        <v>665.302495179183</v>
      </c>
      <c r="D123" s="9" t="n">
        <f aca="false">B123*Inputs!$C$8</f>
        <v>499.611310028723</v>
      </c>
      <c r="E123" s="9" t="n">
        <f aca="false">C123-D123</f>
        <v>165.69118515046</v>
      </c>
      <c r="F123" s="9" t="n">
        <f aca="false">B123-E123</f>
        <v>85481.9619626307</v>
      </c>
    </row>
    <row r="124" customFormat="false" ht="15" hidden="false" customHeight="false" outlineLevel="0" collapsed="false">
      <c r="A124" s="0" t="n">
        <v>123</v>
      </c>
      <c r="B124" s="9" t="n">
        <f aca="false">F123</f>
        <v>85481.9619626307</v>
      </c>
      <c r="C124" s="9" t="n">
        <f aca="false">-PMT(Inputs!$C$8,Inputs!$C$9,Inputs!$C$5)</f>
        <v>665.302495179183</v>
      </c>
      <c r="D124" s="9" t="n">
        <f aca="false">B124*Inputs!$C$8</f>
        <v>498.644778115346</v>
      </c>
      <c r="E124" s="9" t="n">
        <f aca="false">C124-D124</f>
        <v>166.657717063838</v>
      </c>
      <c r="F124" s="9" t="n">
        <f aca="false">B124-E124</f>
        <v>85315.3042455668</v>
      </c>
    </row>
    <row r="125" customFormat="false" ht="15" hidden="false" customHeight="false" outlineLevel="0" collapsed="false">
      <c r="A125" s="0" t="n">
        <v>124</v>
      </c>
      <c r="B125" s="9" t="n">
        <f aca="false">F124</f>
        <v>85315.3042455668</v>
      </c>
      <c r="C125" s="9" t="n">
        <f aca="false">-PMT(Inputs!$C$8,Inputs!$C$9,Inputs!$C$5)</f>
        <v>665.302495179183</v>
      </c>
      <c r="D125" s="9" t="n">
        <f aca="false">B125*Inputs!$C$8</f>
        <v>497.67260809914</v>
      </c>
      <c r="E125" s="9" t="n">
        <f aca="false">C125-D125</f>
        <v>167.629887080043</v>
      </c>
      <c r="F125" s="9" t="n">
        <f aca="false">B125-E125</f>
        <v>85147.6743584868</v>
      </c>
    </row>
    <row r="126" customFormat="false" ht="15" hidden="false" customHeight="false" outlineLevel="0" collapsed="false">
      <c r="A126" s="0" t="n">
        <v>125</v>
      </c>
      <c r="B126" s="9" t="n">
        <f aca="false">F125</f>
        <v>85147.6743584868</v>
      </c>
      <c r="C126" s="9" t="n">
        <f aca="false">-PMT(Inputs!$C$8,Inputs!$C$9,Inputs!$C$5)</f>
        <v>665.302495179183</v>
      </c>
      <c r="D126" s="9" t="n">
        <f aca="false">B126*Inputs!$C$8</f>
        <v>496.694767091173</v>
      </c>
      <c r="E126" s="9" t="n">
        <f aca="false">C126-D126</f>
        <v>168.60772808801</v>
      </c>
      <c r="F126" s="9" t="n">
        <f aca="false">B126-E126</f>
        <v>84979.0666303988</v>
      </c>
    </row>
    <row r="127" customFormat="false" ht="15" hidden="false" customHeight="false" outlineLevel="0" collapsed="false">
      <c r="A127" s="0" t="n">
        <v>126</v>
      </c>
      <c r="B127" s="9" t="n">
        <f aca="false">F126</f>
        <v>84979.0666303988</v>
      </c>
      <c r="C127" s="9" t="n">
        <f aca="false">-PMT(Inputs!$C$8,Inputs!$C$9,Inputs!$C$5)</f>
        <v>665.302495179183</v>
      </c>
      <c r="D127" s="9" t="n">
        <f aca="false">B127*Inputs!$C$8</f>
        <v>495.71122201066</v>
      </c>
      <c r="E127" s="9" t="n">
        <f aca="false">C127-D127</f>
        <v>169.591273168524</v>
      </c>
      <c r="F127" s="9" t="n">
        <f aca="false">B127-E127</f>
        <v>84809.4753572303</v>
      </c>
    </row>
    <row r="128" customFormat="false" ht="15" hidden="false" customHeight="false" outlineLevel="0" collapsed="false">
      <c r="A128" s="0" t="n">
        <v>127</v>
      </c>
      <c r="B128" s="9" t="n">
        <f aca="false">F127</f>
        <v>84809.4753572303</v>
      </c>
      <c r="C128" s="9" t="n">
        <f aca="false">-PMT(Inputs!$C$8,Inputs!$C$9,Inputs!$C$5)</f>
        <v>665.302495179183</v>
      </c>
      <c r="D128" s="9" t="n">
        <f aca="false">B128*Inputs!$C$8</f>
        <v>494.721939583843</v>
      </c>
      <c r="E128" s="9" t="n">
        <f aca="false">C128-D128</f>
        <v>170.58055559534</v>
      </c>
      <c r="F128" s="9" t="n">
        <f aca="false">B128-E128</f>
        <v>84638.8948016349</v>
      </c>
    </row>
    <row r="129" customFormat="false" ht="15" hidden="false" customHeight="false" outlineLevel="0" collapsed="false">
      <c r="A129" s="0" t="n">
        <v>128</v>
      </c>
      <c r="B129" s="9" t="n">
        <f aca="false">F128</f>
        <v>84638.8948016349</v>
      </c>
      <c r="C129" s="9" t="n">
        <f aca="false">-PMT(Inputs!$C$8,Inputs!$C$9,Inputs!$C$5)</f>
        <v>665.302495179183</v>
      </c>
      <c r="D129" s="9" t="n">
        <f aca="false">B129*Inputs!$C$8</f>
        <v>493.72688634287</v>
      </c>
      <c r="E129" s="9" t="n">
        <f aca="false">C129-D129</f>
        <v>171.575608836313</v>
      </c>
      <c r="F129" s="9" t="n">
        <f aca="false">B129-E129</f>
        <v>84467.3191927986</v>
      </c>
    </row>
    <row r="130" customFormat="false" ht="15" hidden="false" customHeight="false" outlineLevel="0" collapsed="false">
      <c r="A130" s="0" t="n">
        <v>129</v>
      </c>
      <c r="B130" s="9" t="n">
        <f aca="false">F129</f>
        <v>84467.3191927986</v>
      </c>
      <c r="C130" s="9" t="n">
        <f aca="false">-PMT(Inputs!$C$8,Inputs!$C$9,Inputs!$C$5)</f>
        <v>665.302495179183</v>
      </c>
      <c r="D130" s="9" t="n">
        <f aca="false">B130*Inputs!$C$8</f>
        <v>492.726028624659</v>
      </c>
      <c r="E130" s="9" t="n">
        <f aca="false">C130-D130</f>
        <v>172.576466554525</v>
      </c>
      <c r="F130" s="9" t="n">
        <f aca="false">B130-E130</f>
        <v>84294.7427262441</v>
      </c>
    </row>
    <row r="131" customFormat="false" ht="15" hidden="false" customHeight="false" outlineLevel="0" collapsed="false">
      <c r="A131" s="0" t="n">
        <v>130</v>
      </c>
      <c r="B131" s="9" t="n">
        <f aca="false">F130</f>
        <v>84294.7427262441</v>
      </c>
      <c r="C131" s="9" t="n">
        <f aca="false">-PMT(Inputs!$C$8,Inputs!$C$9,Inputs!$C$5)</f>
        <v>665.302495179183</v>
      </c>
      <c r="D131" s="9" t="n">
        <f aca="false">B131*Inputs!$C$8</f>
        <v>491.719332569757</v>
      </c>
      <c r="E131" s="9" t="n">
        <f aca="false">C131-D131</f>
        <v>173.583162609426</v>
      </c>
      <c r="F131" s="9" t="n">
        <f aca="false">B131-E131</f>
        <v>84121.1595636347</v>
      </c>
    </row>
    <row r="132" customFormat="false" ht="15" hidden="false" customHeight="false" outlineLevel="0" collapsed="false">
      <c r="A132" s="0" t="n">
        <v>131</v>
      </c>
      <c r="B132" s="9" t="n">
        <f aca="false">F131</f>
        <v>84121.1595636347</v>
      </c>
      <c r="C132" s="9" t="n">
        <f aca="false">-PMT(Inputs!$C$8,Inputs!$C$9,Inputs!$C$5)</f>
        <v>665.302495179183</v>
      </c>
      <c r="D132" s="9" t="n">
        <f aca="false">B132*Inputs!$C$8</f>
        <v>490.706764121202</v>
      </c>
      <c r="E132" s="9" t="n">
        <f aca="false">C132-D132</f>
        <v>174.595731057981</v>
      </c>
      <c r="F132" s="9" t="n">
        <f aca="false">B132-E132</f>
        <v>83946.5638325767</v>
      </c>
    </row>
    <row r="133" customFormat="false" ht="15" hidden="false" customHeight="false" outlineLevel="0" collapsed="false">
      <c r="A133" s="0" t="n">
        <v>132</v>
      </c>
      <c r="B133" s="9" t="n">
        <f aca="false">F132</f>
        <v>83946.5638325767</v>
      </c>
      <c r="C133" s="9" t="n">
        <f aca="false">-PMT(Inputs!$C$8,Inputs!$C$9,Inputs!$C$5)</f>
        <v>665.302495179183</v>
      </c>
      <c r="D133" s="9" t="n">
        <f aca="false">B133*Inputs!$C$8</f>
        <v>489.688289023364</v>
      </c>
      <c r="E133" s="9" t="n">
        <f aca="false">C133-D133</f>
        <v>175.614206155819</v>
      </c>
      <c r="F133" s="9" t="n">
        <f aca="false">B133-E133</f>
        <v>83770.9496264208</v>
      </c>
    </row>
    <row r="134" customFormat="false" ht="15" hidden="false" customHeight="false" outlineLevel="0" collapsed="false">
      <c r="A134" s="0" t="n">
        <v>133</v>
      </c>
      <c r="B134" s="9" t="n">
        <f aca="false">F133</f>
        <v>83770.9496264208</v>
      </c>
      <c r="C134" s="9" t="n">
        <f aca="false">-PMT(Inputs!$C$8,Inputs!$C$9,Inputs!$C$5)</f>
        <v>665.302495179183</v>
      </c>
      <c r="D134" s="9" t="n">
        <f aca="false">B134*Inputs!$C$8</f>
        <v>488.663872820788</v>
      </c>
      <c r="E134" s="9" t="n">
        <f aca="false">C134-D134</f>
        <v>176.638622358395</v>
      </c>
      <c r="F134" s="9" t="n">
        <f aca="false">B134-E134</f>
        <v>83594.3110040625</v>
      </c>
    </row>
    <row r="135" customFormat="false" ht="15" hidden="false" customHeight="false" outlineLevel="0" collapsed="false">
      <c r="A135" s="0" t="n">
        <v>134</v>
      </c>
      <c r="B135" s="9" t="n">
        <f aca="false">F134</f>
        <v>83594.3110040625</v>
      </c>
      <c r="C135" s="9" t="n">
        <f aca="false">-PMT(Inputs!$C$8,Inputs!$C$9,Inputs!$C$5)</f>
        <v>665.302495179183</v>
      </c>
      <c r="D135" s="9" t="n">
        <f aca="false">B135*Inputs!$C$8</f>
        <v>487.633480857031</v>
      </c>
      <c r="E135" s="9" t="n">
        <f aca="false">C135-D135</f>
        <v>177.669014322152</v>
      </c>
      <c r="F135" s="9" t="n">
        <f aca="false">B135-E135</f>
        <v>83416.6419897403</v>
      </c>
    </row>
    <row r="136" customFormat="false" ht="15" hidden="false" customHeight="false" outlineLevel="0" collapsed="false">
      <c r="A136" s="0" t="n">
        <v>135</v>
      </c>
      <c r="B136" s="9" t="n">
        <f aca="false">F135</f>
        <v>83416.6419897403</v>
      </c>
      <c r="C136" s="9" t="n">
        <f aca="false">-PMT(Inputs!$C$8,Inputs!$C$9,Inputs!$C$5)</f>
        <v>665.302495179183</v>
      </c>
      <c r="D136" s="9" t="n">
        <f aca="false">B136*Inputs!$C$8</f>
        <v>486.597078273485</v>
      </c>
      <c r="E136" s="9" t="n">
        <f aca="false">C136-D136</f>
        <v>178.705416905698</v>
      </c>
      <c r="F136" s="9" t="n">
        <f aca="false">B136-E136</f>
        <v>83237.9365728346</v>
      </c>
    </row>
    <row r="137" customFormat="false" ht="15" hidden="false" customHeight="false" outlineLevel="0" collapsed="false">
      <c r="A137" s="0" t="n">
        <v>136</v>
      </c>
      <c r="B137" s="9" t="n">
        <f aca="false">F136</f>
        <v>83237.9365728346</v>
      </c>
      <c r="C137" s="9" t="n">
        <f aca="false">-PMT(Inputs!$C$8,Inputs!$C$9,Inputs!$C$5)</f>
        <v>665.302495179183</v>
      </c>
      <c r="D137" s="9" t="n">
        <f aca="false">B137*Inputs!$C$8</f>
        <v>485.554630008202</v>
      </c>
      <c r="E137" s="9" t="n">
        <f aca="false">C137-D137</f>
        <v>179.747865170981</v>
      </c>
      <c r="F137" s="9" t="n">
        <f aca="false">B137-E137</f>
        <v>83058.1887076636</v>
      </c>
    </row>
    <row r="138" customFormat="false" ht="15" hidden="false" customHeight="false" outlineLevel="0" collapsed="false">
      <c r="A138" s="0" t="n">
        <v>137</v>
      </c>
      <c r="B138" s="9" t="n">
        <f aca="false">F137</f>
        <v>83058.1887076636</v>
      </c>
      <c r="C138" s="9" t="n">
        <f aca="false">-PMT(Inputs!$C$8,Inputs!$C$9,Inputs!$C$5)</f>
        <v>665.302495179183</v>
      </c>
      <c r="D138" s="9" t="n">
        <f aca="false">B138*Inputs!$C$8</f>
        <v>484.506100794705</v>
      </c>
      <c r="E138" s="9" t="n">
        <f aca="false">C138-D138</f>
        <v>180.796394384479</v>
      </c>
      <c r="F138" s="9" t="n">
        <f aca="false">B138-E138</f>
        <v>82877.3923132791</v>
      </c>
    </row>
    <row r="139" customFormat="false" ht="15" hidden="false" customHeight="false" outlineLevel="0" collapsed="false">
      <c r="A139" s="0" t="n">
        <v>138</v>
      </c>
      <c r="B139" s="9" t="n">
        <f aca="false">F138</f>
        <v>82877.3923132791</v>
      </c>
      <c r="C139" s="9" t="n">
        <f aca="false">-PMT(Inputs!$C$8,Inputs!$C$9,Inputs!$C$5)</f>
        <v>665.302495179183</v>
      </c>
      <c r="D139" s="9" t="n">
        <f aca="false">B139*Inputs!$C$8</f>
        <v>483.451455160795</v>
      </c>
      <c r="E139" s="9" t="n">
        <f aca="false">C139-D139</f>
        <v>181.851040018388</v>
      </c>
      <c r="F139" s="9" t="n">
        <f aca="false">B139-E139</f>
        <v>82695.5412732608</v>
      </c>
    </row>
    <row r="140" customFormat="false" ht="15" hidden="false" customHeight="false" outlineLevel="0" collapsed="false">
      <c r="A140" s="0" t="n">
        <v>139</v>
      </c>
      <c r="B140" s="9" t="n">
        <f aca="false">F139</f>
        <v>82695.5412732608</v>
      </c>
      <c r="C140" s="9" t="n">
        <f aca="false">-PMT(Inputs!$C$8,Inputs!$C$9,Inputs!$C$5)</f>
        <v>665.302495179183</v>
      </c>
      <c r="D140" s="9" t="n">
        <f aca="false">B140*Inputs!$C$8</f>
        <v>482.390657427354</v>
      </c>
      <c r="E140" s="9" t="n">
        <f aca="false">C140-D140</f>
        <v>182.911837751829</v>
      </c>
      <c r="F140" s="9" t="n">
        <f aca="false">B140-E140</f>
        <v>82512.6294355089</v>
      </c>
    </row>
    <row r="141" customFormat="false" ht="15" hidden="false" customHeight="false" outlineLevel="0" collapsed="false">
      <c r="A141" s="0" t="n">
        <v>140</v>
      </c>
      <c r="B141" s="9" t="n">
        <f aca="false">F140</f>
        <v>82512.6294355089</v>
      </c>
      <c r="C141" s="9" t="n">
        <f aca="false">-PMT(Inputs!$C$8,Inputs!$C$9,Inputs!$C$5)</f>
        <v>665.302495179183</v>
      </c>
      <c r="D141" s="9" t="n">
        <f aca="false">B141*Inputs!$C$8</f>
        <v>481.323671707135</v>
      </c>
      <c r="E141" s="9" t="n">
        <f aca="false">C141-D141</f>
        <v>183.978823472048</v>
      </c>
      <c r="F141" s="9" t="n">
        <f aca="false">B141-E141</f>
        <v>82328.6506120369</v>
      </c>
    </row>
    <row r="142" customFormat="false" ht="15" hidden="false" customHeight="false" outlineLevel="0" collapsed="false">
      <c r="A142" s="0" t="n">
        <v>141</v>
      </c>
      <c r="B142" s="9" t="n">
        <f aca="false">F141</f>
        <v>82328.6506120369</v>
      </c>
      <c r="C142" s="9" t="n">
        <f aca="false">-PMT(Inputs!$C$8,Inputs!$C$9,Inputs!$C$5)</f>
        <v>665.302495179183</v>
      </c>
      <c r="D142" s="9" t="n">
        <f aca="false">B142*Inputs!$C$8</f>
        <v>480.250461903548</v>
      </c>
      <c r="E142" s="9" t="n">
        <f aca="false">C142-D142</f>
        <v>185.052033275635</v>
      </c>
      <c r="F142" s="9" t="n">
        <f aca="false">B142-E142</f>
        <v>82143.5985787612</v>
      </c>
    </row>
    <row r="143" customFormat="false" ht="15" hidden="false" customHeight="false" outlineLevel="0" collapsed="false">
      <c r="A143" s="0" t="n">
        <v>142</v>
      </c>
      <c r="B143" s="9" t="n">
        <f aca="false">F142</f>
        <v>82143.5985787612</v>
      </c>
      <c r="C143" s="9" t="n">
        <f aca="false">-PMT(Inputs!$C$8,Inputs!$C$9,Inputs!$C$5)</f>
        <v>665.302495179183</v>
      </c>
      <c r="D143" s="9" t="n">
        <f aca="false">B143*Inputs!$C$8</f>
        <v>479.170991709441</v>
      </c>
      <c r="E143" s="9" t="n">
        <f aca="false">C143-D143</f>
        <v>186.131503469743</v>
      </c>
      <c r="F143" s="9" t="n">
        <f aca="false">B143-E143</f>
        <v>81957.4670752915</v>
      </c>
    </row>
    <row r="144" customFormat="false" ht="15" hidden="false" customHeight="false" outlineLevel="0" collapsed="false">
      <c r="A144" s="0" t="n">
        <v>143</v>
      </c>
      <c r="B144" s="9" t="n">
        <f aca="false">F143</f>
        <v>81957.4670752915</v>
      </c>
      <c r="C144" s="9" t="n">
        <f aca="false">-PMT(Inputs!$C$8,Inputs!$C$9,Inputs!$C$5)</f>
        <v>665.302495179183</v>
      </c>
      <c r="D144" s="9" t="n">
        <f aca="false">B144*Inputs!$C$8</f>
        <v>478.085224605867</v>
      </c>
      <c r="E144" s="9" t="n">
        <f aca="false">C144-D144</f>
        <v>187.217270573316</v>
      </c>
      <c r="F144" s="9" t="n">
        <f aca="false">B144-E144</f>
        <v>81770.2498047182</v>
      </c>
    </row>
    <row r="145" customFormat="false" ht="15" hidden="false" customHeight="false" outlineLevel="0" collapsed="false">
      <c r="A145" s="0" t="n">
        <v>144</v>
      </c>
      <c r="B145" s="9" t="n">
        <f aca="false">F144</f>
        <v>81770.2498047182</v>
      </c>
      <c r="C145" s="9" t="n">
        <f aca="false">-PMT(Inputs!$C$8,Inputs!$C$9,Inputs!$C$5)</f>
        <v>665.302495179183</v>
      </c>
      <c r="D145" s="9" t="n">
        <f aca="false">B145*Inputs!$C$8</f>
        <v>476.993123860856</v>
      </c>
      <c r="E145" s="9" t="n">
        <f aca="false">C145-D145</f>
        <v>188.309371318327</v>
      </c>
      <c r="F145" s="9" t="n">
        <f aca="false">B145-E145</f>
        <v>81581.9404333999</v>
      </c>
    </row>
    <row r="146" customFormat="false" ht="15" hidden="false" customHeight="false" outlineLevel="0" collapsed="false">
      <c r="A146" s="0" t="n">
        <v>145</v>
      </c>
      <c r="B146" s="9" t="n">
        <f aca="false">F145</f>
        <v>81581.9404333999</v>
      </c>
      <c r="C146" s="9" t="n">
        <f aca="false">-PMT(Inputs!$C$8,Inputs!$C$9,Inputs!$C$5)</f>
        <v>665.302495179183</v>
      </c>
      <c r="D146" s="9" t="n">
        <f aca="false">B146*Inputs!$C$8</f>
        <v>475.894652528166</v>
      </c>
      <c r="E146" s="9" t="n">
        <f aca="false">C146-D146</f>
        <v>189.407842651017</v>
      </c>
      <c r="F146" s="9" t="n">
        <f aca="false">B146-E146</f>
        <v>81392.5325907488</v>
      </c>
    </row>
    <row r="147" customFormat="false" ht="15" hidden="false" customHeight="false" outlineLevel="0" collapsed="false">
      <c r="A147" s="0" t="n">
        <v>146</v>
      </c>
      <c r="B147" s="9" t="n">
        <f aca="false">F146</f>
        <v>81392.5325907488</v>
      </c>
      <c r="C147" s="9" t="n">
        <f aca="false">-PMT(Inputs!$C$8,Inputs!$C$9,Inputs!$C$5)</f>
        <v>665.302495179183</v>
      </c>
      <c r="D147" s="9" t="n">
        <f aca="false">B147*Inputs!$C$8</f>
        <v>474.789773446035</v>
      </c>
      <c r="E147" s="9" t="n">
        <f aca="false">C147-D147</f>
        <v>190.512721733148</v>
      </c>
      <c r="F147" s="9" t="n">
        <f aca="false">B147-E147</f>
        <v>81202.0198690157</v>
      </c>
    </row>
    <row r="148" customFormat="false" ht="15" hidden="false" customHeight="false" outlineLevel="0" collapsed="false">
      <c r="A148" s="0" t="n">
        <v>147</v>
      </c>
      <c r="B148" s="9" t="n">
        <f aca="false">F147</f>
        <v>81202.0198690157</v>
      </c>
      <c r="C148" s="9" t="n">
        <f aca="false">-PMT(Inputs!$C$8,Inputs!$C$9,Inputs!$C$5)</f>
        <v>665.302495179183</v>
      </c>
      <c r="D148" s="9" t="n">
        <f aca="false">B148*Inputs!$C$8</f>
        <v>473.678449235925</v>
      </c>
      <c r="E148" s="9" t="n">
        <f aca="false">C148-D148</f>
        <v>191.624045943258</v>
      </c>
      <c r="F148" s="9" t="n">
        <f aca="false">B148-E148</f>
        <v>81010.3958230724</v>
      </c>
    </row>
    <row r="149" customFormat="false" ht="15" hidden="false" customHeight="false" outlineLevel="0" collapsed="false">
      <c r="A149" s="0" t="n">
        <v>148</v>
      </c>
      <c r="B149" s="9" t="n">
        <f aca="false">F148</f>
        <v>81010.3958230724</v>
      </c>
      <c r="C149" s="9" t="n">
        <f aca="false">-PMT(Inputs!$C$8,Inputs!$C$9,Inputs!$C$5)</f>
        <v>665.302495179183</v>
      </c>
      <c r="D149" s="9" t="n">
        <f aca="false">B149*Inputs!$C$8</f>
        <v>472.560642301256</v>
      </c>
      <c r="E149" s="9" t="n">
        <f aca="false">C149-D149</f>
        <v>192.741852877927</v>
      </c>
      <c r="F149" s="9" t="n">
        <f aca="false">B149-E149</f>
        <v>80817.6539701945</v>
      </c>
    </row>
    <row r="150" customFormat="false" ht="15" hidden="false" customHeight="false" outlineLevel="0" collapsed="false">
      <c r="A150" s="0" t="n">
        <v>149</v>
      </c>
      <c r="B150" s="9" t="n">
        <f aca="false">F149</f>
        <v>80817.6539701945</v>
      </c>
      <c r="C150" s="9" t="n">
        <f aca="false">-PMT(Inputs!$C$8,Inputs!$C$9,Inputs!$C$5)</f>
        <v>665.302495179183</v>
      </c>
      <c r="D150" s="9" t="n">
        <f aca="false">B150*Inputs!$C$8</f>
        <v>471.436314826135</v>
      </c>
      <c r="E150" s="9" t="n">
        <f aca="false">C150-D150</f>
        <v>193.866180353049</v>
      </c>
      <c r="F150" s="9" t="n">
        <f aca="false">B150-E150</f>
        <v>80623.7877898414</v>
      </c>
    </row>
    <row r="151" customFormat="false" ht="15" hidden="false" customHeight="false" outlineLevel="0" collapsed="false">
      <c r="A151" s="0" t="n">
        <v>150</v>
      </c>
      <c r="B151" s="9" t="n">
        <f aca="false">F150</f>
        <v>80623.7877898414</v>
      </c>
      <c r="C151" s="9" t="n">
        <f aca="false">-PMT(Inputs!$C$8,Inputs!$C$9,Inputs!$C$5)</f>
        <v>665.302495179183</v>
      </c>
      <c r="D151" s="9" t="n">
        <f aca="false">B151*Inputs!$C$8</f>
        <v>470.305428774075</v>
      </c>
      <c r="E151" s="9" t="n">
        <f aca="false">C151-D151</f>
        <v>194.997066405108</v>
      </c>
      <c r="F151" s="9" t="n">
        <f aca="false">B151-E151</f>
        <v>80428.7907234363</v>
      </c>
    </row>
    <row r="152" customFormat="false" ht="15" hidden="false" customHeight="false" outlineLevel="0" collapsed="false">
      <c r="A152" s="0" t="n">
        <v>151</v>
      </c>
      <c r="B152" s="9" t="n">
        <f aca="false">F151</f>
        <v>80428.7907234363</v>
      </c>
      <c r="C152" s="9" t="n">
        <f aca="false">-PMT(Inputs!$C$8,Inputs!$C$9,Inputs!$C$5)</f>
        <v>665.302495179183</v>
      </c>
      <c r="D152" s="9" t="n">
        <f aca="false">B152*Inputs!$C$8</f>
        <v>469.167945886712</v>
      </c>
      <c r="E152" s="9" t="n">
        <f aca="false">C152-D152</f>
        <v>196.134549292471</v>
      </c>
      <c r="F152" s="9" t="n">
        <f aca="false">B152-E152</f>
        <v>80232.6561741439</v>
      </c>
    </row>
    <row r="153" customFormat="false" ht="15" hidden="false" customHeight="false" outlineLevel="0" collapsed="false">
      <c r="A153" s="0" t="n">
        <v>152</v>
      </c>
      <c r="B153" s="9" t="n">
        <f aca="false">F152</f>
        <v>80232.6561741439</v>
      </c>
      <c r="C153" s="9" t="n">
        <f aca="false">-PMT(Inputs!$C$8,Inputs!$C$9,Inputs!$C$5)</f>
        <v>665.302495179183</v>
      </c>
      <c r="D153" s="9" t="n">
        <f aca="false">B153*Inputs!$C$8</f>
        <v>468.023827682506</v>
      </c>
      <c r="E153" s="9" t="n">
        <f aca="false">C153-D153</f>
        <v>197.278667496677</v>
      </c>
      <c r="F153" s="9" t="n">
        <f aca="false">B153-E153</f>
        <v>80035.3775066472</v>
      </c>
    </row>
    <row r="154" customFormat="false" ht="15" hidden="false" customHeight="false" outlineLevel="0" collapsed="false">
      <c r="A154" s="0" t="n">
        <v>153</v>
      </c>
      <c r="B154" s="9" t="n">
        <f aca="false">F153</f>
        <v>80035.3775066472</v>
      </c>
      <c r="C154" s="9" t="n">
        <f aca="false">-PMT(Inputs!$C$8,Inputs!$C$9,Inputs!$C$5)</f>
        <v>665.302495179183</v>
      </c>
      <c r="D154" s="9" t="n">
        <f aca="false">B154*Inputs!$C$8</f>
        <v>466.873035455442</v>
      </c>
      <c r="E154" s="9" t="n">
        <f aca="false">C154-D154</f>
        <v>198.429459723741</v>
      </c>
      <c r="F154" s="9" t="n">
        <f aca="false">B154-E154</f>
        <v>79836.9480469234</v>
      </c>
    </row>
    <row r="155" customFormat="false" ht="15" hidden="false" customHeight="false" outlineLevel="0" collapsed="false">
      <c r="A155" s="0" t="n">
        <v>154</v>
      </c>
      <c r="B155" s="9" t="n">
        <f aca="false">F154</f>
        <v>79836.9480469234</v>
      </c>
      <c r="C155" s="9" t="n">
        <f aca="false">-PMT(Inputs!$C$8,Inputs!$C$9,Inputs!$C$5)</f>
        <v>665.302495179183</v>
      </c>
      <c r="D155" s="9" t="n">
        <f aca="false">B155*Inputs!$C$8</f>
        <v>465.71553027372</v>
      </c>
      <c r="E155" s="9" t="n">
        <f aca="false">C155-D155</f>
        <v>199.586964905463</v>
      </c>
      <c r="F155" s="9" t="n">
        <f aca="false">B155-E155</f>
        <v>79637.361082018</v>
      </c>
    </row>
    <row r="156" customFormat="false" ht="15" hidden="false" customHeight="false" outlineLevel="0" collapsed="false">
      <c r="A156" s="0" t="n">
        <v>155</v>
      </c>
      <c r="B156" s="9" t="n">
        <f aca="false">F155</f>
        <v>79637.361082018</v>
      </c>
      <c r="C156" s="9" t="n">
        <f aca="false">-PMT(Inputs!$C$8,Inputs!$C$9,Inputs!$C$5)</f>
        <v>665.302495179183</v>
      </c>
      <c r="D156" s="9" t="n">
        <f aca="false">B156*Inputs!$C$8</f>
        <v>464.551272978438</v>
      </c>
      <c r="E156" s="9" t="n">
        <f aca="false">C156-D156</f>
        <v>200.751222200745</v>
      </c>
      <c r="F156" s="9" t="n">
        <f aca="false">B156-E156</f>
        <v>79436.6098598172</v>
      </c>
    </row>
    <row r="157" customFormat="false" ht="15" hidden="false" customHeight="false" outlineLevel="0" collapsed="false">
      <c r="A157" s="0" t="n">
        <v>156</v>
      </c>
      <c r="B157" s="9" t="n">
        <f aca="false">F156</f>
        <v>79436.6098598172</v>
      </c>
      <c r="C157" s="9" t="n">
        <f aca="false">-PMT(Inputs!$C$8,Inputs!$C$9,Inputs!$C$5)</f>
        <v>665.302495179183</v>
      </c>
      <c r="D157" s="9" t="n">
        <f aca="false">B157*Inputs!$C$8</f>
        <v>463.380224182267</v>
      </c>
      <c r="E157" s="9" t="n">
        <f aca="false">C157-D157</f>
        <v>201.922270996916</v>
      </c>
      <c r="F157" s="9" t="n">
        <f aca="false">B157-E157</f>
        <v>79234.6875888203</v>
      </c>
    </row>
    <row r="158" customFormat="false" ht="15" hidden="false" customHeight="false" outlineLevel="0" collapsed="false">
      <c r="A158" s="0" t="n">
        <v>157</v>
      </c>
      <c r="B158" s="9" t="n">
        <f aca="false">F157</f>
        <v>79234.6875888203</v>
      </c>
      <c r="C158" s="9" t="n">
        <f aca="false">-PMT(Inputs!$C$8,Inputs!$C$9,Inputs!$C$5)</f>
        <v>665.302495179183</v>
      </c>
      <c r="D158" s="9" t="n">
        <f aca="false">B158*Inputs!$C$8</f>
        <v>462.202344268118</v>
      </c>
      <c r="E158" s="9" t="n">
        <f aca="false">C158-D158</f>
        <v>203.100150911065</v>
      </c>
      <c r="F158" s="9" t="n">
        <f aca="false">B158-E158</f>
        <v>79031.5874379092</v>
      </c>
    </row>
    <row r="159" customFormat="false" ht="15" hidden="false" customHeight="false" outlineLevel="0" collapsed="false">
      <c r="A159" s="0" t="n">
        <v>158</v>
      </c>
      <c r="B159" s="9" t="n">
        <f aca="false">F158</f>
        <v>79031.5874379092</v>
      </c>
      <c r="C159" s="9" t="n">
        <f aca="false">-PMT(Inputs!$C$8,Inputs!$C$9,Inputs!$C$5)</f>
        <v>665.302495179183</v>
      </c>
      <c r="D159" s="9" t="n">
        <f aca="false">B159*Inputs!$C$8</f>
        <v>461.017593387804</v>
      </c>
      <c r="E159" s="9" t="n">
        <f aca="false">C159-D159</f>
        <v>204.284901791379</v>
      </c>
      <c r="F159" s="9" t="n">
        <f aca="false">B159-E159</f>
        <v>78827.3025361179</v>
      </c>
    </row>
    <row r="160" customFormat="false" ht="15" hidden="false" customHeight="false" outlineLevel="0" collapsed="false">
      <c r="A160" s="0" t="n">
        <v>159</v>
      </c>
      <c r="B160" s="9" t="n">
        <f aca="false">F159</f>
        <v>78827.3025361179</v>
      </c>
      <c r="C160" s="9" t="n">
        <f aca="false">-PMT(Inputs!$C$8,Inputs!$C$9,Inputs!$C$5)</f>
        <v>665.302495179183</v>
      </c>
      <c r="D160" s="9" t="n">
        <f aca="false">B160*Inputs!$C$8</f>
        <v>459.825931460688</v>
      </c>
      <c r="E160" s="9" t="n">
        <f aca="false">C160-D160</f>
        <v>205.476563718496</v>
      </c>
      <c r="F160" s="9" t="n">
        <f aca="false">B160-E160</f>
        <v>78621.8259723994</v>
      </c>
    </row>
    <row r="161" customFormat="false" ht="15" hidden="false" customHeight="false" outlineLevel="0" collapsed="false">
      <c r="A161" s="0" t="n">
        <v>160</v>
      </c>
      <c r="B161" s="9" t="n">
        <f aca="false">F160</f>
        <v>78621.8259723994</v>
      </c>
      <c r="C161" s="9" t="n">
        <f aca="false">-PMT(Inputs!$C$8,Inputs!$C$9,Inputs!$C$5)</f>
        <v>665.302495179183</v>
      </c>
      <c r="D161" s="9" t="n">
        <f aca="false">B161*Inputs!$C$8</f>
        <v>458.62731817233</v>
      </c>
      <c r="E161" s="9" t="n">
        <f aca="false">C161-D161</f>
        <v>206.675177006854</v>
      </c>
      <c r="F161" s="9" t="n">
        <f aca="false">B161-E161</f>
        <v>78415.1507953925</v>
      </c>
    </row>
    <row r="162" customFormat="false" ht="15" hidden="false" customHeight="false" outlineLevel="0" collapsed="false">
      <c r="A162" s="0" t="n">
        <v>161</v>
      </c>
      <c r="B162" s="9" t="n">
        <f aca="false">F161</f>
        <v>78415.1507953925</v>
      </c>
      <c r="C162" s="9" t="n">
        <f aca="false">-PMT(Inputs!$C$8,Inputs!$C$9,Inputs!$C$5)</f>
        <v>665.302495179183</v>
      </c>
      <c r="D162" s="9" t="n">
        <f aca="false">B162*Inputs!$C$8</f>
        <v>457.421712973123</v>
      </c>
      <c r="E162" s="9" t="n">
        <f aca="false">C162-D162</f>
        <v>207.88078220606</v>
      </c>
      <c r="F162" s="9" t="n">
        <f aca="false">B162-E162</f>
        <v>78207.2700131865</v>
      </c>
    </row>
    <row r="163" customFormat="false" ht="15" hidden="false" customHeight="false" outlineLevel="0" collapsed="false">
      <c r="A163" s="0" t="n">
        <v>162</v>
      </c>
      <c r="B163" s="9" t="n">
        <f aca="false">F162</f>
        <v>78207.2700131865</v>
      </c>
      <c r="C163" s="9" t="n">
        <f aca="false">-PMT(Inputs!$C$8,Inputs!$C$9,Inputs!$C$5)</f>
        <v>665.302495179183</v>
      </c>
      <c r="D163" s="9" t="n">
        <f aca="false">B163*Inputs!$C$8</f>
        <v>456.209075076921</v>
      </c>
      <c r="E163" s="9" t="n">
        <f aca="false">C163-D163</f>
        <v>209.093420102262</v>
      </c>
      <c r="F163" s="9" t="n">
        <f aca="false">B163-E163</f>
        <v>77998.1765930842</v>
      </c>
    </row>
    <row r="164" customFormat="false" ht="15" hidden="false" customHeight="false" outlineLevel="0" collapsed="false">
      <c r="A164" s="0" t="n">
        <v>163</v>
      </c>
      <c r="B164" s="9" t="n">
        <f aca="false">F163</f>
        <v>77998.1765930842</v>
      </c>
      <c r="C164" s="9" t="n">
        <f aca="false">-PMT(Inputs!$C$8,Inputs!$C$9,Inputs!$C$5)</f>
        <v>665.302495179183</v>
      </c>
      <c r="D164" s="9" t="n">
        <f aca="false">B164*Inputs!$C$8</f>
        <v>454.989363459658</v>
      </c>
      <c r="E164" s="9" t="n">
        <f aca="false">C164-D164</f>
        <v>210.313131719525</v>
      </c>
      <c r="F164" s="9" t="n">
        <f aca="false">B164-E164</f>
        <v>77787.8634613647</v>
      </c>
    </row>
    <row r="165" customFormat="false" ht="15" hidden="false" customHeight="false" outlineLevel="0" collapsed="false">
      <c r="A165" s="0" t="n">
        <v>164</v>
      </c>
      <c r="B165" s="9" t="n">
        <f aca="false">F164</f>
        <v>77787.8634613647</v>
      </c>
      <c r="C165" s="9" t="n">
        <f aca="false">-PMT(Inputs!$C$8,Inputs!$C$9,Inputs!$C$5)</f>
        <v>665.302495179183</v>
      </c>
      <c r="D165" s="9" t="n">
        <f aca="false">B165*Inputs!$C$8</f>
        <v>453.762536857961</v>
      </c>
      <c r="E165" s="9" t="n">
        <f aca="false">C165-D165</f>
        <v>211.539958321223</v>
      </c>
      <c r="F165" s="9" t="n">
        <f aca="false">B165-E165</f>
        <v>77576.3235030434</v>
      </c>
    </row>
    <row r="166" customFormat="false" ht="15" hidden="false" customHeight="false" outlineLevel="0" collapsed="false">
      <c r="A166" s="0" t="n">
        <v>165</v>
      </c>
      <c r="B166" s="9" t="n">
        <f aca="false">F165</f>
        <v>77576.3235030434</v>
      </c>
      <c r="C166" s="9" t="n">
        <f aca="false">-PMT(Inputs!$C$8,Inputs!$C$9,Inputs!$C$5)</f>
        <v>665.302495179183</v>
      </c>
      <c r="D166" s="9" t="n">
        <f aca="false">B166*Inputs!$C$8</f>
        <v>452.528553767753</v>
      </c>
      <c r="E166" s="9" t="n">
        <f aca="false">C166-D166</f>
        <v>212.77394141143</v>
      </c>
      <c r="F166" s="9" t="n">
        <f aca="false">B166-E166</f>
        <v>77363.549561632</v>
      </c>
    </row>
    <row r="167" customFormat="false" ht="15" hidden="false" customHeight="false" outlineLevel="0" collapsed="false">
      <c r="A167" s="0" t="n">
        <v>166</v>
      </c>
      <c r="B167" s="9" t="n">
        <f aca="false">F166</f>
        <v>77363.549561632</v>
      </c>
      <c r="C167" s="9" t="n">
        <f aca="false">-PMT(Inputs!$C$8,Inputs!$C$9,Inputs!$C$5)</f>
        <v>665.302495179183</v>
      </c>
      <c r="D167" s="9" t="n">
        <f aca="false">B167*Inputs!$C$8</f>
        <v>451.287372442853</v>
      </c>
      <c r="E167" s="9" t="n">
        <f aca="false">C167-D167</f>
        <v>214.01512273633</v>
      </c>
      <c r="F167" s="9" t="n">
        <f aca="false">B167-E167</f>
        <v>77149.5344388957</v>
      </c>
    </row>
    <row r="168" customFormat="false" ht="15" hidden="false" customHeight="false" outlineLevel="0" collapsed="false">
      <c r="A168" s="0" t="n">
        <v>167</v>
      </c>
      <c r="B168" s="9" t="n">
        <f aca="false">F167</f>
        <v>77149.5344388957</v>
      </c>
      <c r="C168" s="9" t="n">
        <f aca="false">-PMT(Inputs!$C$8,Inputs!$C$9,Inputs!$C$5)</f>
        <v>665.302495179183</v>
      </c>
      <c r="D168" s="9" t="n">
        <f aca="false">B168*Inputs!$C$8</f>
        <v>450.038950893558</v>
      </c>
      <c r="E168" s="9" t="n">
        <f aca="false">C168-D168</f>
        <v>215.263544285625</v>
      </c>
      <c r="F168" s="9" t="n">
        <f aca="false">B168-E168</f>
        <v>76934.2708946101</v>
      </c>
    </row>
    <row r="169" customFormat="false" ht="15" hidden="false" customHeight="false" outlineLevel="0" collapsed="false">
      <c r="A169" s="0" t="n">
        <v>168</v>
      </c>
      <c r="B169" s="9" t="n">
        <f aca="false">F168</f>
        <v>76934.2708946101</v>
      </c>
      <c r="C169" s="9" t="n">
        <f aca="false">-PMT(Inputs!$C$8,Inputs!$C$9,Inputs!$C$5)</f>
        <v>665.302495179183</v>
      </c>
      <c r="D169" s="9" t="n">
        <f aca="false">B169*Inputs!$C$8</f>
        <v>448.783246885225</v>
      </c>
      <c r="E169" s="9" t="n">
        <f aca="false">C169-D169</f>
        <v>216.519248293958</v>
      </c>
      <c r="F169" s="9" t="n">
        <f aca="false">B169-E169</f>
        <v>76717.7516463161</v>
      </c>
    </row>
    <row r="170" customFormat="false" ht="15" hidden="false" customHeight="false" outlineLevel="0" collapsed="false">
      <c r="A170" s="0" t="n">
        <v>169</v>
      </c>
      <c r="B170" s="9" t="n">
        <f aca="false">F169</f>
        <v>76717.7516463161</v>
      </c>
      <c r="C170" s="9" t="n">
        <f aca="false">-PMT(Inputs!$C$8,Inputs!$C$9,Inputs!$C$5)</f>
        <v>665.302495179183</v>
      </c>
      <c r="D170" s="9" t="n">
        <f aca="false">B170*Inputs!$C$8</f>
        <v>447.520217936844</v>
      </c>
      <c r="E170" s="9" t="n">
        <f aca="false">C170-D170</f>
        <v>217.782277242339</v>
      </c>
      <c r="F170" s="9" t="n">
        <f aca="false">B170-E170</f>
        <v>76499.9693690738</v>
      </c>
    </row>
    <row r="171" customFormat="false" ht="15" hidden="false" customHeight="false" outlineLevel="0" collapsed="false">
      <c r="A171" s="0" t="n">
        <v>170</v>
      </c>
      <c r="B171" s="9" t="n">
        <f aca="false">F170</f>
        <v>76499.9693690738</v>
      </c>
      <c r="C171" s="9" t="n">
        <f aca="false">-PMT(Inputs!$C$8,Inputs!$C$9,Inputs!$C$5)</f>
        <v>665.302495179183</v>
      </c>
      <c r="D171" s="9" t="n">
        <f aca="false">B171*Inputs!$C$8</f>
        <v>446.249821319597</v>
      </c>
      <c r="E171" s="9" t="n">
        <f aca="false">C171-D171</f>
        <v>219.052673859586</v>
      </c>
      <c r="F171" s="9" t="n">
        <f aca="false">B171-E171</f>
        <v>76280.9166952142</v>
      </c>
    </row>
    <row r="172" customFormat="false" ht="15" hidden="false" customHeight="false" outlineLevel="0" collapsed="false">
      <c r="A172" s="0" t="n">
        <v>171</v>
      </c>
      <c r="B172" s="9" t="n">
        <f aca="false">F171</f>
        <v>76280.9166952142</v>
      </c>
      <c r="C172" s="9" t="n">
        <f aca="false">-PMT(Inputs!$C$8,Inputs!$C$9,Inputs!$C$5)</f>
        <v>665.302495179183</v>
      </c>
      <c r="D172" s="9" t="n">
        <f aca="false">B172*Inputs!$C$8</f>
        <v>444.972014055416</v>
      </c>
      <c r="E172" s="9" t="n">
        <f aca="false">C172-D172</f>
        <v>220.330481123767</v>
      </c>
      <c r="F172" s="9" t="n">
        <f aca="false">B172-E172</f>
        <v>76060.5862140904</v>
      </c>
    </row>
    <row r="173" customFormat="false" ht="15" hidden="false" customHeight="false" outlineLevel="0" collapsed="false">
      <c r="A173" s="0" t="n">
        <v>172</v>
      </c>
      <c r="B173" s="9" t="n">
        <f aca="false">F172</f>
        <v>76060.5862140904</v>
      </c>
      <c r="C173" s="9" t="n">
        <f aca="false">-PMT(Inputs!$C$8,Inputs!$C$9,Inputs!$C$5)</f>
        <v>665.302495179183</v>
      </c>
      <c r="D173" s="9" t="n">
        <f aca="false">B173*Inputs!$C$8</f>
        <v>443.686752915527</v>
      </c>
      <c r="E173" s="9" t="n">
        <f aca="false">C173-D173</f>
        <v>221.615742263656</v>
      </c>
      <c r="F173" s="9" t="n">
        <f aca="false">B173-E173</f>
        <v>75838.9704718268</v>
      </c>
    </row>
    <row r="174" customFormat="false" ht="15" hidden="false" customHeight="false" outlineLevel="0" collapsed="false">
      <c r="A174" s="0" t="n">
        <v>173</v>
      </c>
      <c r="B174" s="9" t="n">
        <f aca="false">F173</f>
        <v>75838.9704718268</v>
      </c>
      <c r="C174" s="9" t="n">
        <f aca="false">-PMT(Inputs!$C$8,Inputs!$C$9,Inputs!$C$5)</f>
        <v>665.302495179183</v>
      </c>
      <c r="D174" s="9" t="n">
        <f aca="false">B174*Inputs!$C$8</f>
        <v>442.393994418989</v>
      </c>
      <c r="E174" s="9" t="n">
        <f aca="false">C174-D174</f>
        <v>222.908500760194</v>
      </c>
      <c r="F174" s="9" t="n">
        <f aca="false">B174-E174</f>
        <v>75616.0619710666</v>
      </c>
    </row>
    <row r="175" customFormat="false" ht="15" hidden="false" customHeight="false" outlineLevel="0" collapsed="false">
      <c r="A175" s="0" t="n">
        <v>174</v>
      </c>
      <c r="B175" s="9" t="n">
        <f aca="false">F174</f>
        <v>75616.0619710666</v>
      </c>
      <c r="C175" s="9" t="n">
        <f aca="false">-PMT(Inputs!$C$8,Inputs!$C$9,Inputs!$C$5)</f>
        <v>665.302495179183</v>
      </c>
      <c r="D175" s="9" t="n">
        <f aca="false">B175*Inputs!$C$8</f>
        <v>441.093694831222</v>
      </c>
      <c r="E175" s="9" t="n">
        <f aca="false">C175-D175</f>
        <v>224.208800347962</v>
      </c>
      <c r="F175" s="9" t="n">
        <f aca="false">B175-E175</f>
        <v>75391.8531707186</v>
      </c>
    </row>
    <row r="176" customFormat="false" ht="15" hidden="false" customHeight="false" outlineLevel="0" collapsed="false">
      <c r="A176" s="0" t="n">
        <v>175</v>
      </c>
      <c r="B176" s="9" t="n">
        <f aca="false">F175</f>
        <v>75391.8531707186</v>
      </c>
      <c r="C176" s="9" t="n">
        <f aca="false">-PMT(Inputs!$C$8,Inputs!$C$9,Inputs!$C$5)</f>
        <v>665.302495179183</v>
      </c>
      <c r="D176" s="9" t="n">
        <f aca="false">B176*Inputs!$C$8</f>
        <v>439.785810162525</v>
      </c>
      <c r="E176" s="9" t="n">
        <f aca="false">C176-D176</f>
        <v>225.516685016658</v>
      </c>
      <c r="F176" s="9" t="n">
        <f aca="false">B176-E176</f>
        <v>75166.336485702</v>
      </c>
    </row>
    <row r="177" customFormat="false" ht="15" hidden="false" customHeight="false" outlineLevel="0" collapsed="false">
      <c r="A177" s="0" t="n">
        <v>176</v>
      </c>
      <c r="B177" s="9" t="n">
        <f aca="false">F176</f>
        <v>75166.336485702</v>
      </c>
      <c r="C177" s="9" t="n">
        <f aca="false">-PMT(Inputs!$C$8,Inputs!$C$9,Inputs!$C$5)</f>
        <v>665.302495179183</v>
      </c>
      <c r="D177" s="9" t="n">
        <f aca="false">B177*Inputs!$C$8</f>
        <v>438.470296166595</v>
      </c>
      <c r="E177" s="9" t="n">
        <f aca="false">C177-D177</f>
        <v>226.832199012589</v>
      </c>
      <c r="F177" s="9" t="n">
        <f aca="false">B177-E177</f>
        <v>74939.5042866894</v>
      </c>
    </row>
    <row r="178" customFormat="false" ht="15" hidden="false" customHeight="false" outlineLevel="0" collapsed="false">
      <c r="A178" s="0" t="n">
        <v>177</v>
      </c>
      <c r="B178" s="9" t="n">
        <f aca="false">F177</f>
        <v>74939.5042866894</v>
      </c>
      <c r="C178" s="9" t="n">
        <f aca="false">-PMT(Inputs!$C$8,Inputs!$C$9,Inputs!$C$5)</f>
        <v>665.302495179183</v>
      </c>
      <c r="D178" s="9" t="n">
        <f aca="false">B178*Inputs!$C$8</f>
        <v>437.147108339021</v>
      </c>
      <c r="E178" s="9" t="n">
        <f aca="false">C178-D178</f>
        <v>228.155386840162</v>
      </c>
      <c r="F178" s="9" t="n">
        <f aca="false">B178-E178</f>
        <v>74711.3488998492</v>
      </c>
    </row>
    <row r="179" customFormat="false" ht="15" hidden="false" customHeight="false" outlineLevel="0" collapsed="false">
      <c r="A179" s="0" t="n">
        <v>178</v>
      </c>
      <c r="B179" s="9" t="n">
        <f aca="false">F178</f>
        <v>74711.3488998492</v>
      </c>
      <c r="C179" s="9" t="n">
        <f aca="false">-PMT(Inputs!$C$8,Inputs!$C$9,Inputs!$C$5)</f>
        <v>665.302495179183</v>
      </c>
      <c r="D179" s="9" t="n">
        <f aca="false">B179*Inputs!$C$8</f>
        <v>435.816201915787</v>
      </c>
      <c r="E179" s="9" t="n">
        <f aca="false">C179-D179</f>
        <v>229.486293263396</v>
      </c>
      <c r="F179" s="9" t="n">
        <f aca="false">B179-E179</f>
        <v>74481.8626065858</v>
      </c>
    </row>
    <row r="180" customFormat="false" ht="15" hidden="false" customHeight="false" outlineLevel="0" collapsed="false">
      <c r="A180" s="0" t="n">
        <v>179</v>
      </c>
      <c r="B180" s="9" t="n">
        <f aca="false">F179</f>
        <v>74481.8626065858</v>
      </c>
      <c r="C180" s="9" t="n">
        <f aca="false">-PMT(Inputs!$C$8,Inputs!$C$9,Inputs!$C$5)</f>
        <v>665.302495179183</v>
      </c>
      <c r="D180" s="9" t="n">
        <f aca="false">B180*Inputs!$C$8</f>
        <v>434.477531871751</v>
      </c>
      <c r="E180" s="9" t="n">
        <f aca="false">C180-D180</f>
        <v>230.824963307433</v>
      </c>
      <c r="F180" s="9" t="n">
        <f aca="false">B180-E180</f>
        <v>74251.0376432784</v>
      </c>
    </row>
    <row r="181" customFormat="false" ht="15" hidden="false" customHeight="false" outlineLevel="0" collapsed="false">
      <c r="A181" s="0" t="n">
        <v>180</v>
      </c>
      <c r="B181" s="9" t="n">
        <f aca="false">F180</f>
        <v>74251.0376432784</v>
      </c>
      <c r="C181" s="9" t="n">
        <f aca="false">-PMT(Inputs!$C$8,Inputs!$C$9,Inputs!$C$5)</f>
        <v>665.302495179183</v>
      </c>
      <c r="D181" s="9" t="n">
        <f aca="false">B181*Inputs!$C$8</f>
        <v>433.131052919124</v>
      </c>
      <c r="E181" s="9" t="n">
        <f aca="false">C181-D181</f>
        <v>232.171442260059</v>
      </c>
      <c r="F181" s="9" t="n">
        <f aca="false">B181-E181</f>
        <v>74018.8662010183</v>
      </c>
    </row>
    <row r="182" customFormat="false" ht="15" hidden="false" customHeight="false" outlineLevel="0" collapsed="false">
      <c r="A182" s="0" t="n">
        <v>181</v>
      </c>
      <c r="B182" s="9" t="n">
        <f aca="false">F181</f>
        <v>74018.8662010183</v>
      </c>
      <c r="C182" s="9" t="n">
        <f aca="false">-PMT(Inputs!$C$8,Inputs!$C$9,Inputs!$C$5)</f>
        <v>665.302495179183</v>
      </c>
      <c r="D182" s="9" t="n">
        <f aca="false">B182*Inputs!$C$8</f>
        <v>431.77671950594</v>
      </c>
      <c r="E182" s="9" t="n">
        <f aca="false">C182-D182</f>
        <v>233.525775673243</v>
      </c>
      <c r="F182" s="9" t="n">
        <f aca="false">B182-E182</f>
        <v>73785.3404253451</v>
      </c>
    </row>
    <row r="183" customFormat="false" ht="15" hidden="false" customHeight="false" outlineLevel="0" collapsed="false">
      <c r="A183" s="0" t="n">
        <v>182</v>
      </c>
      <c r="B183" s="9" t="n">
        <f aca="false">F182</f>
        <v>73785.3404253451</v>
      </c>
      <c r="C183" s="9" t="n">
        <f aca="false">-PMT(Inputs!$C$8,Inputs!$C$9,Inputs!$C$5)</f>
        <v>665.302495179183</v>
      </c>
      <c r="D183" s="9" t="n">
        <f aca="false">B183*Inputs!$C$8</f>
        <v>430.414485814513</v>
      </c>
      <c r="E183" s="9" t="n">
        <f aca="false">C183-D183</f>
        <v>234.88800936467</v>
      </c>
      <c r="F183" s="9" t="n">
        <f aca="false">B183-E183</f>
        <v>73550.4524159804</v>
      </c>
    </row>
    <row r="184" customFormat="false" ht="15" hidden="false" customHeight="false" outlineLevel="0" collapsed="false">
      <c r="A184" s="0" t="n">
        <v>183</v>
      </c>
      <c r="B184" s="9" t="n">
        <f aca="false">F183</f>
        <v>73550.4524159804</v>
      </c>
      <c r="C184" s="9" t="n">
        <f aca="false">-PMT(Inputs!$C$8,Inputs!$C$9,Inputs!$C$5)</f>
        <v>665.302495179183</v>
      </c>
      <c r="D184" s="9" t="n">
        <f aca="false">B184*Inputs!$C$8</f>
        <v>429.044305759886</v>
      </c>
      <c r="E184" s="9" t="n">
        <f aca="false">C184-D184</f>
        <v>236.258189419298</v>
      </c>
      <c r="F184" s="9" t="n">
        <f aca="false">B184-E184</f>
        <v>73314.1942265611</v>
      </c>
    </row>
    <row r="185" customFormat="false" ht="15" hidden="false" customHeight="false" outlineLevel="0" collapsed="false">
      <c r="A185" s="0" t="n">
        <v>184</v>
      </c>
      <c r="B185" s="9" t="n">
        <f aca="false">F184</f>
        <v>73314.1942265611</v>
      </c>
      <c r="C185" s="9" t="n">
        <f aca="false">-PMT(Inputs!$C$8,Inputs!$C$9,Inputs!$C$5)</f>
        <v>665.302495179183</v>
      </c>
      <c r="D185" s="9" t="n">
        <f aca="false">B185*Inputs!$C$8</f>
        <v>427.666132988273</v>
      </c>
      <c r="E185" s="9" t="n">
        <f aca="false">C185-D185</f>
        <v>237.63636219091</v>
      </c>
      <c r="F185" s="9" t="n">
        <f aca="false">B185-E185</f>
        <v>73076.5578643702</v>
      </c>
    </row>
    <row r="186" customFormat="false" ht="15" hidden="false" customHeight="false" outlineLevel="0" collapsed="false">
      <c r="A186" s="0" t="n">
        <v>185</v>
      </c>
      <c r="B186" s="9" t="n">
        <f aca="false">F185</f>
        <v>73076.5578643702</v>
      </c>
      <c r="C186" s="9" t="n">
        <f aca="false">-PMT(Inputs!$C$8,Inputs!$C$9,Inputs!$C$5)</f>
        <v>665.302495179183</v>
      </c>
      <c r="D186" s="9" t="n">
        <f aca="false">B186*Inputs!$C$8</f>
        <v>426.279920875493</v>
      </c>
      <c r="E186" s="9" t="n">
        <f aca="false">C186-D186</f>
        <v>239.022574303691</v>
      </c>
      <c r="F186" s="9" t="n">
        <f aca="false">B186-E186</f>
        <v>72837.5352900665</v>
      </c>
    </row>
    <row r="187" customFormat="false" ht="15" hidden="false" customHeight="false" outlineLevel="0" collapsed="false">
      <c r="A187" s="0" t="n">
        <v>186</v>
      </c>
      <c r="B187" s="9" t="n">
        <f aca="false">F186</f>
        <v>72837.5352900665</v>
      </c>
      <c r="C187" s="9" t="n">
        <f aca="false">-PMT(Inputs!$C$8,Inputs!$C$9,Inputs!$C$5)</f>
        <v>665.302495179183</v>
      </c>
      <c r="D187" s="9" t="n">
        <f aca="false">B187*Inputs!$C$8</f>
        <v>424.885622525388</v>
      </c>
      <c r="E187" s="9" t="n">
        <f aca="false">C187-D187</f>
        <v>240.416872653795</v>
      </c>
      <c r="F187" s="9" t="n">
        <f aca="false">B187-E187</f>
        <v>72597.1184174127</v>
      </c>
    </row>
    <row r="188" customFormat="false" ht="15" hidden="false" customHeight="false" outlineLevel="0" collapsed="false">
      <c r="A188" s="0" t="n">
        <v>187</v>
      </c>
      <c r="B188" s="9" t="n">
        <f aca="false">F187</f>
        <v>72597.1184174127</v>
      </c>
      <c r="C188" s="9" t="n">
        <f aca="false">-PMT(Inputs!$C$8,Inputs!$C$9,Inputs!$C$5)</f>
        <v>665.302495179183</v>
      </c>
      <c r="D188" s="9" t="n">
        <f aca="false">B188*Inputs!$C$8</f>
        <v>423.483190768241</v>
      </c>
      <c r="E188" s="9" t="n">
        <f aca="false">C188-D188</f>
        <v>241.819304410942</v>
      </c>
      <c r="F188" s="9" t="n">
        <f aca="false">B188-E188</f>
        <v>72355.2991130018</v>
      </c>
    </row>
    <row r="189" customFormat="false" ht="15" hidden="false" customHeight="false" outlineLevel="0" collapsed="false">
      <c r="A189" s="0" t="n">
        <v>188</v>
      </c>
      <c r="B189" s="9" t="n">
        <f aca="false">F188</f>
        <v>72355.2991130018</v>
      </c>
      <c r="C189" s="9" t="n">
        <f aca="false">-PMT(Inputs!$C$8,Inputs!$C$9,Inputs!$C$5)</f>
        <v>665.302495179183</v>
      </c>
      <c r="D189" s="9" t="n">
        <f aca="false">B189*Inputs!$C$8</f>
        <v>422.072578159177</v>
      </c>
      <c r="E189" s="9" t="n">
        <f aca="false">C189-D189</f>
        <v>243.229917020006</v>
      </c>
      <c r="F189" s="9" t="n">
        <f aca="false">B189-E189</f>
        <v>72112.0691959818</v>
      </c>
    </row>
    <row r="190" customFormat="false" ht="15" hidden="false" customHeight="false" outlineLevel="0" collapsed="false">
      <c r="A190" s="0" t="n">
        <v>189</v>
      </c>
      <c r="B190" s="9" t="n">
        <f aca="false">F189</f>
        <v>72112.0691959818</v>
      </c>
      <c r="C190" s="9" t="n">
        <f aca="false">-PMT(Inputs!$C$8,Inputs!$C$9,Inputs!$C$5)</f>
        <v>665.302495179183</v>
      </c>
      <c r="D190" s="9" t="n">
        <f aca="false">B190*Inputs!$C$8</f>
        <v>420.65373697656</v>
      </c>
      <c r="E190" s="9" t="n">
        <f aca="false">C190-D190</f>
        <v>244.648758202623</v>
      </c>
      <c r="F190" s="9" t="n">
        <f aca="false">B190-E190</f>
        <v>71867.4204377791</v>
      </c>
    </row>
    <row r="191" customFormat="false" ht="15" hidden="false" customHeight="false" outlineLevel="0" collapsed="false">
      <c r="A191" s="0" t="n">
        <v>190</v>
      </c>
      <c r="B191" s="9" t="n">
        <f aca="false">F190</f>
        <v>71867.4204377791</v>
      </c>
      <c r="C191" s="9" t="n">
        <f aca="false">-PMT(Inputs!$C$8,Inputs!$C$9,Inputs!$C$5)</f>
        <v>665.302495179183</v>
      </c>
      <c r="D191" s="9" t="n">
        <f aca="false">B191*Inputs!$C$8</f>
        <v>419.226619220378</v>
      </c>
      <c r="E191" s="9" t="n">
        <f aca="false">C191-D191</f>
        <v>246.075875958805</v>
      </c>
      <c r="F191" s="9" t="n">
        <f aca="false">B191-E191</f>
        <v>71621.3445618203</v>
      </c>
    </row>
    <row r="192" customFormat="false" ht="15" hidden="false" customHeight="false" outlineLevel="0" collapsed="false">
      <c r="A192" s="0" t="n">
        <v>191</v>
      </c>
      <c r="B192" s="9" t="n">
        <f aca="false">F191</f>
        <v>71621.3445618203</v>
      </c>
      <c r="C192" s="9" t="n">
        <f aca="false">-PMT(Inputs!$C$8,Inputs!$C$9,Inputs!$C$5)</f>
        <v>665.302495179183</v>
      </c>
      <c r="D192" s="9" t="n">
        <f aca="false">B192*Inputs!$C$8</f>
        <v>417.791176610619</v>
      </c>
      <c r="E192" s="9" t="n">
        <f aca="false">C192-D192</f>
        <v>247.511318568565</v>
      </c>
      <c r="F192" s="9" t="n">
        <f aca="false">B192-E192</f>
        <v>71373.8332432518</v>
      </c>
    </row>
    <row r="193" customFormat="false" ht="15" hidden="false" customHeight="false" outlineLevel="0" collapsed="false">
      <c r="A193" s="0" t="n">
        <v>192</v>
      </c>
      <c r="B193" s="9" t="n">
        <f aca="false">F192</f>
        <v>71373.8332432518</v>
      </c>
      <c r="C193" s="9" t="n">
        <f aca="false">-PMT(Inputs!$C$8,Inputs!$C$9,Inputs!$C$5)</f>
        <v>665.302495179183</v>
      </c>
      <c r="D193" s="9" t="n">
        <f aca="false">B193*Inputs!$C$8</f>
        <v>416.347360585635</v>
      </c>
      <c r="E193" s="9" t="n">
        <f aca="false">C193-D193</f>
        <v>248.955134593548</v>
      </c>
      <c r="F193" s="9" t="n">
        <f aca="false">B193-E193</f>
        <v>71124.8781086582</v>
      </c>
    </row>
    <row r="194" customFormat="false" ht="15" hidden="false" customHeight="false" outlineLevel="0" collapsed="false">
      <c r="A194" s="0" t="n">
        <v>193</v>
      </c>
      <c r="B194" s="9" t="n">
        <f aca="false">F193</f>
        <v>71124.8781086582</v>
      </c>
      <c r="C194" s="9" t="n">
        <f aca="false">-PMT(Inputs!$C$8,Inputs!$C$9,Inputs!$C$5)</f>
        <v>665.302495179183</v>
      </c>
      <c r="D194" s="9" t="n">
        <f aca="false">B194*Inputs!$C$8</f>
        <v>414.895122300506</v>
      </c>
      <c r="E194" s="9" t="n">
        <f aca="false">C194-D194</f>
        <v>250.407372878677</v>
      </c>
      <c r="F194" s="9" t="n">
        <f aca="false">B194-E194</f>
        <v>70874.4707357795</v>
      </c>
    </row>
    <row r="195" customFormat="false" ht="15" hidden="false" customHeight="false" outlineLevel="0" collapsed="false">
      <c r="A195" s="0" t="n">
        <v>194</v>
      </c>
      <c r="B195" s="9" t="n">
        <f aca="false">F194</f>
        <v>70874.4707357795</v>
      </c>
      <c r="C195" s="9" t="n">
        <f aca="false">-PMT(Inputs!$C$8,Inputs!$C$9,Inputs!$C$5)</f>
        <v>665.302495179183</v>
      </c>
      <c r="D195" s="9" t="n">
        <f aca="false">B195*Inputs!$C$8</f>
        <v>413.434412625381</v>
      </c>
      <c r="E195" s="9" t="n">
        <f aca="false">C195-D195</f>
        <v>251.868082553803</v>
      </c>
      <c r="F195" s="9" t="n">
        <f aca="false">B195-E195</f>
        <v>70622.6026532257</v>
      </c>
    </row>
    <row r="196" customFormat="false" ht="15" hidden="false" customHeight="false" outlineLevel="0" collapsed="false">
      <c r="A196" s="0" t="n">
        <v>195</v>
      </c>
      <c r="B196" s="9" t="n">
        <f aca="false">F195</f>
        <v>70622.6026532257</v>
      </c>
      <c r="C196" s="9" t="n">
        <f aca="false">-PMT(Inputs!$C$8,Inputs!$C$9,Inputs!$C$5)</f>
        <v>665.302495179183</v>
      </c>
      <c r="D196" s="9" t="n">
        <f aca="false">B196*Inputs!$C$8</f>
        <v>411.965182143817</v>
      </c>
      <c r="E196" s="9" t="n">
        <f aca="false">C196-D196</f>
        <v>253.337313035366</v>
      </c>
      <c r="F196" s="9" t="n">
        <f aca="false">B196-E196</f>
        <v>70369.2653401904</v>
      </c>
    </row>
    <row r="197" customFormat="false" ht="15" hidden="false" customHeight="false" outlineLevel="0" collapsed="false">
      <c r="A197" s="0" t="n">
        <v>196</v>
      </c>
      <c r="B197" s="9" t="n">
        <f aca="false">F196</f>
        <v>70369.2653401904</v>
      </c>
      <c r="C197" s="9" t="n">
        <f aca="false">-PMT(Inputs!$C$8,Inputs!$C$9,Inputs!$C$5)</f>
        <v>665.302495179183</v>
      </c>
      <c r="D197" s="9" t="n">
        <f aca="false">B197*Inputs!$C$8</f>
        <v>410.48738115111</v>
      </c>
      <c r="E197" s="9" t="n">
        <f aca="false">C197-D197</f>
        <v>254.815114028073</v>
      </c>
      <c r="F197" s="9" t="n">
        <f aca="false">B197-E197</f>
        <v>70114.4502261623</v>
      </c>
    </row>
    <row r="198" customFormat="false" ht="15" hidden="false" customHeight="false" outlineLevel="0" collapsed="false">
      <c r="A198" s="0" t="n">
        <v>197</v>
      </c>
      <c r="B198" s="9" t="n">
        <f aca="false">F197</f>
        <v>70114.4502261623</v>
      </c>
      <c r="C198" s="9" t="n">
        <f aca="false">-PMT(Inputs!$C$8,Inputs!$C$9,Inputs!$C$5)</f>
        <v>665.302495179183</v>
      </c>
      <c r="D198" s="9" t="n">
        <f aca="false">B198*Inputs!$C$8</f>
        <v>409.000959652613</v>
      </c>
      <c r="E198" s="9" t="n">
        <f aca="false">C198-D198</f>
        <v>256.30153552657</v>
      </c>
      <c r="F198" s="9" t="n">
        <f aca="false">B198-E198</f>
        <v>69858.1486906357</v>
      </c>
    </row>
    <row r="199" customFormat="false" ht="15" hidden="false" customHeight="false" outlineLevel="0" collapsed="false">
      <c r="A199" s="0" t="n">
        <v>198</v>
      </c>
      <c r="B199" s="9" t="n">
        <f aca="false">F198</f>
        <v>69858.1486906357</v>
      </c>
      <c r="C199" s="9" t="n">
        <f aca="false">-PMT(Inputs!$C$8,Inputs!$C$9,Inputs!$C$5)</f>
        <v>665.302495179183</v>
      </c>
      <c r="D199" s="9" t="n">
        <f aca="false">B199*Inputs!$C$8</f>
        <v>407.505867362042</v>
      </c>
      <c r="E199" s="9" t="n">
        <f aca="false">C199-D199</f>
        <v>257.796627817141</v>
      </c>
      <c r="F199" s="9" t="n">
        <f aca="false">B199-E199</f>
        <v>69600.3520628186</v>
      </c>
    </row>
    <row r="200" customFormat="false" ht="15" hidden="false" customHeight="false" outlineLevel="0" collapsed="false">
      <c r="A200" s="0" t="n">
        <v>199</v>
      </c>
      <c r="B200" s="9" t="n">
        <f aca="false">F199</f>
        <v>69600.3520628186</v>
      </c>
      <c r="C200" s="9" t="n">
        <f aca="false">-PMT(Inputs!$C$8,Inputs!$C$9,Inputs!$C$5)</f>
        <v>665.302495179183</v>
      </c>
      <c r="D200" s="9" t="n">
        <f aca="false">B200*Inputs!$C$8</f>
        <v>406.002053699775</v>
      </c>
      <c r="E200" s="9" t="n">
        <f aca="false">C200-D200</f>
        <v>259.300441479408</v>
      </c>
      <c r="F200" s="9" t="n">
        <f aca="false">B200-E200</f>
        <v>69341.0516213392</v>
      </c>
    </row>
    <row r="201" customFormat="false" ht="15" hidden="false" customHeight="false" outlineLevel="0" collapsed="false">
      <c r="A201" s="0" t="n">
        <v>200</v>
      </c>
      <c r="B201" s="9" t="n">
        <f aca="false">F200</f>
        <v>69341.0516213392</v>
      </c>
      <c r="C201" s="9" t="n">
        <f aca="false">-PMT(Inputs!$C$8,Inputs!$C$9,Inputs!$C$5)</f>
        <v>665.302495179183</v>
      </c>
      <c r="D201" s="9" t="n">
        <f aca="false">B201*Inputs!$C$8</f>
        <v>404.489467791145</v>
      </c>
      <c r="E201" s="9" t="n">
        <f aca="false">C201-D201</f>
        <v>260.813027388038</v>
      </c>
      <c r="F201" s="9" t="n">
        <f aca="false">B201-E201</f>
        <v>69080.2385939511</v>
      </c>
    </row>
    <row r="202" customFormat="false" ht="15" hidden="false" customHeight="false" outlineLevel="0" collapsed="false">
      <c r="A202" s="0" t="n">
        <v>201</v>
      </c>
      <c r="B202" s="9" t="n">
        <f aca="false">F201</f>
        <v>69080.2385939511</v>
      </c>
      <c r="C202" s="9" t="n">
        <f aca="false">-PMT(Inputs!$C$8,Inputs!$C$9,Inputs!$C$5)</f>
        <v>665.302495179183</v>
      </c>
      <c r="D202" s="9" t="n">
        <f aca="false">B202*Inputs!$C$8</f>
        <v>402.968058464715</v>
      </c>
      <c r="E202" s="9" t="n">
        <f aca="false">C202-D202</f>
        <v>262.334436714468</v>
      </c>
      <c r="F202" s="9" t="n">
        <f aca="false">B202-E202</f>
        <v>68817.9041572367</v>
      </c>
    </row>
    <row r="203" customFormat="false" ht="15" hidden="false" customHeight="false" outlineLevel="0" collapsed="false">
      <c r="A203" s="0" t="n">
        <v>202</v>
      </c>
      <c r="B203" s="9" t="n">
        <f aca="false">F202</f>
        <v>68817.9041572367</v>
      </c>
      <c r="C203" s="9" t="n">
        <f aca="false">-PMT(Inputs!$C$8,Inputs!$C$9,Inputs!$C$5)</f>
        <v>665.302495179183</v>
      </c>
      <c r="D203" s="9" t="n">
        <f aca="false">B203*Inputs!$C$8</f>
        <v>401.437774250547</v>
      </c>
      <c r="E203" s="9" t="n">
        <f aca="false">C203-D203</f>
        <v>263.864720928636</v>
      </c>
      <c r="F203" s="9" t="n">
        <f aca="false">B203-E203</f>
        <v>68554.039436308</v>
      </c>
    </row>
    <row r="204" customFormat="false" ht="15" hidden="false" customHeight="false" outlineLevel="0" collapsed="false">
      <c r="A204" s="0" t="n">
        <v>203</v>
      </c>
      <c r="B204" s="9" t="n">
        <f aca="false">F203</f>
        <v>68554.039436308</v>
      </c>
      <c r="C204" s="9" t="n">
        <f aca="false">-PMT(Inputs!$C$8,Inputs!$C$9,Inputs!$C$5)</f>
        <v>665.302495179183</v>
      </c>
      <c r="D204" s="9" t="n">
        <f aca="false">B204*Inputs!$C$8</f>
        <v>399.898563378464</v>
      </c>
      <c r="E204" s="9" t="n">
        <f aca="false">C204-D204</f>
        <v>265.40393180072</v>
      </c>
      <c r="F204" s="9" t="n">
        <f aca="false">B204-E204</f>
        <v>68288.6355045073</v>
      </c>
    </row>
    <row r="205" customFormat="false" ht="15" hidden="false" customHeight="false" outlineLevel="0" collapsed="false">
      <c r="A205" s="0" t="n">
        <v>204</v>
      </c>
      <c r="B205" s="9" t="n">
        <f aca="false">F204</f>
        <v>68288.6355045073</v>
      </c>
      <c r="C205" s="9" t="n">
        <f aca="false">-PMT(Inputs!$C$8,Inputs!$C$9,Inputs!$C$5)</f>
        <v>665.302495179183</v>
      </c>
      <c r="D205" s="9" t="n">
        <f aca="false">B205*Inputs!$C$8</f>
        <v>398.350373776293</v>
      </c>
      <c r="E205" s="9" t="n">
        <f aca="false">C205-D205</f>
        <v>266.952121402891</v>
      </c>
      <c r="F205" s="9" t="n">
        <f aca="false">B205-E205</f>
        <v>68021.6833831044</v>
      </c>
    </row>
    <row r="206" customFormat="false" ht="15" hidden="false" customHeight="false" outlineLevel="0" collapsed="false">
      <c r="A206" s="0" t="n">
        <v>205</v>
      </c>
      <c r="B206" s="9" t="n">
        <f aca="false">F205</f>
        <v>68021.6833831044</v>
      </c>
      <c r="C206" s="9" t="n">
        <f aca="false">-PMT(Inputs!$C$8,Inputs!$C$9,Inputs!$C$5)</f>
        <v>665.302495179183</v>
      </c>
      <c r="D206" s="9" t="n">
        <f aca="false">B206*Inputs!$C$8</f>
        <v>396.793153068109</v>
      </c>
      <c r="E206" s="9" t="n">
        <f aca="false">C206-D206</f>
        <v>268.509342111074</v>
      </c>
      <c r="F206" s="9" t="n">
        <f aca="false">B206-E206</f>
        <v>67753.1740409933</v>
      </c>
    </row>
    <row r="207" customFormat="false" ht="15" hidden="false" customHeight="false" outlineLevel="0" collapsed="false">
      <c r="A207" s="0" t="n">
        <v>206</v>
      </c>
      <c r="B207" s="9" t="n">
        <f aca="false">F206</f>
        <v>67753.1740409933</v>
      </c>
      <c r="C207" s="9" t="n">
        <f aca="false">-PMT(Inputs!$C$8,Inputs!$C$9,Inputs!$C$5)</f>
        <v>665.302495179183</v>
      </c>
      <c r="D207" s="9" t="n">
        <f aca="false">B207*Inputs!$C$8</f>
        <v>395.226848572461</v>
      </c>
      <c r="E207" s="9" t="n">
        <f aca="false">C207-D207</f>
        <v>270.075646606722</v>
      </c>
      <c r="F207" s="9" t="n">
        <f aca="false">B207-E207</f>
        <v>67483.0983943866</v>
      </c>
    </row>
    <row r="208" customFormat="false" ht="15" hidden="false" customHeight="false" outlineLevel="0" collapsed="false">
      <c r="A208" s="0" t="n">
        <v>207</v>
      </c>
      <c r="B208" s="9" t="n">
        <f aca="false">F207</f>
        <v>67483.0983943866</v>
      </c>
      <c r="C208" s="9" t="n">
        <f aca="false">-PMT(Inputs!$C$8,Inputs!$C$9,Inputs!$C$5)</f>
        <v>665.302495179183</v>
      </c>
      <c r="D208" s="9" t="n">
        <f aca="false">B208*Inputs!$C$8</f>
        <v>393.651407300589</v>
      </c>
      <c r="E208" s="9" t="n">
        <f aca="false">C208-D208</f>
        <v>271.651087878595</v>
      </c>
      <c r="F208" s="9" t="n">
        <f aca="false">B208-E208</f>
        <v>67211.447306508</v>
      </c>
    </row>
    <row r="209" customFormat="false" ht="15" hidden="false" customHeight="false" outlineLevel="0" collapsed="false">
      <c r="A209" s="0" t="n">
        <v>208</v>
      </c>
      <c r="B209" s="9" t="n">
        <f aca="false">F208</f>
        <v>67211.447306508</v>
      </c>
      <c r="C209" s="9" t="n">
        <f aca="false">-PMT(Inputs!$C$8,Inputs!$C$9,Inputs!$C$5)</f>
        <v>665.302495179183</v>
      </c>
      <c r="D209" s="9" t="n">
        <f aca="false">B209*Inputs!$C$8</f>
        <v>392.06677595463</v>
      </c>
      <c r="E209" s="9" t="n">
        <f aca="false">C209-D209</f>
        <v>273.235719224553</v>
      </c>
      <c r="F209" s="9" t="n">
        <f aca="false">B209-E209</f>
        <v>66938.2115872835</v>
      </c>
    </row>
    <row r="210" customFormat="false" ht="15" hidden="false" customHeight="false" outlineLevel="0" collapsed="false">
      <c r="A210" s="0" t="n">
        <v>209</v>
      </c>
      <c r="B210" s="9" t="n">
        <f aca="false">F209</f>
        <v>66938.2115872835</v>
      </c>
      <c r="C210" s="9" t="n">
        <f aca="false">-PMT(Inputs!$C$8,Inputs!$C$9,Inputs!$C$5)</f>
        <v>665.302495179183</v>
      </c>
      <c r="D210" s="9" t="n">
        <f aca="false">B210*Inputs!$C$8</f>
        <v>390.47290092582</v>
      </c>
      <c r="E210" s="9" t="n">
        <f aca="false">C210-D210</f>
        <v>274.829594253363</v>
      </c>
      <c r="F210" s="9" t="n">
        <f aca="false">B210-E210</f>
        <v>66663.3819930301</v>
      </c>
    </row>
    <row r="211" customFormat="false" ht="15" hidden="false" customHeight="false" outlineLevel="0" collapsed="false">
      <c r="A211" s="0" t="n">
        <v>210</v>
      </c>
      <c r="B211" s="9" t="n">
        <f aca="false">F210</f>
        <v>66663.3819930301</v>
      </c>
      <c r="C211" s="9" t="n">
        <f aca="false">-PMT(Inputs!$C$8,Inputs!$C$9,Inputs!$C$5)</f>
        <v>665.302495179183</v>
      </c>
      <c r="D211" s="9" t="n">
        <f aca="false">B211*Inputs!$C$8</f>
        <v>388.869728292676</v>
      </c>
      <c r="E211" s="9" t="n">
        <f aca="false">C211-D211</f>
        <v>276.432766886508</v>
      </c>
      <c r="F211" s="9" t="n">
        <f aca="false">B211-E211</f>
        <v>66386.9492261436</v>
      </c>
    </row>
    <row r="212" customFormat="false" ht="15" hidden="false" customHeight="false" outlineLevel="0" collapsed="false">
      <c r="A212" s="0" t="n">
        <v>211</v>
      </c>
      <c r="B212" s="9" t="n">
        <f aca="false">F211</f>
        <v>66386.9492261436</v>
      </c>
      <c r="C212" s="9" t="n">
        <f aca="false">-PMT(Inputs!$C$8,Inputs!$C$9,Inputs!$C$5)</f>
        <v>665.302495179183</v>
      </c>
      <c r="D212" s="9" t="n">
        <f aca="false">B212*Inputs!$C$8</f>
        <v>387.257203819171</v>
      </c>
      <c r="E212" s="9" t="n">
        <f aca="false">C212-D212</f>
        <v>278.045291360012</v>
      </c>
      <c r="F212" s="9" t="n">
        <f aca="false">B212-E212</f>
        <v>66108.9039347836</v>
      </c>
    </row>
    <row r="213" customFormat="false" ht="15" hidden="false" customHeight="false" outlineLevel="0" collapsed="false">
      <c r="A213" s="0" t="n">
        <v>212</v>
      </c>
      <c r="B213" s="9" t="n">
        <f aca="false">F212</f>
        <v>66108.9039347836</v>
      </c>
      <c r="C213" s="9" t="n">
        <f aca="false">-PMT(Inputs!$C$8,Inputs!$C$9,Inputs!$C$5)</f>
        <v>665.302495179183</v>
      </c>
      <c r="D213" s="9" t="n">
        <f aca="false">B213*Inputs!$C$8</f>
        <v>385.635272952904</v>
      </c>
      <c r="E213" s="9" t="n">
        <f aca="false">C213-D213</f>
        <v>279.667222226279</v>
      </c>
      <c r="F213" s="9" t="n">
        <f aca="false">B213-E213</f>
        <v>65829.2367125573</v>
      </c>
    </row>
    <row r="214" customFormat="false" ht="15" hidden="false" customHeight="false" outlineLevel="0" collapsed="false">
      <c r="A214" s="0" t="n">
        <v>213</v>
      </c>
      <c r="B214" s="9" t="n">
        <f aca="false">F213</f>
        <v>65829.2367125573</v>
      </c>
      <c r="C214" s="9" t="n">
        <f aca="false">-PMT(Inputs!$C$8,Inputs!$C$9,Inputs!$C$5)</f>
        <v>665.302495179183</v>
      </c>
      <c r="D214" s="9" t="n">
        <f aca="false">B214*Inputs!$C$8</f>
        <v>384.003880823251</v>
      </c>
      <c r="E214" s="9" t="n">
        <f aca="false">C214-D214</f>
        <v>281.298614355932</v>
      </c>
      <c r="F214" s="9" t="n">
        <f aca="false">B214-E214</f>
        <v>65547.9380982014</v>
      </c>
    </row>
    <row r="215" customFormat="false" ht="15" hidden="false" customHeight="false" outlineLevel="0" collapsed="false">
      <c r="A215" s="0" t="n">
        <v>214</v>
      </c>
      <c r="B215" s="9" t="n">
        <f aca="false">F214</f>
        <v>65547.9380982014</v>
      </c>
      <c r="C215" s="9" t="n">
        <f aca="false">-PMT(Inputs!$C$8,Inputs!$C$9,Inputs!$C$5)</f>
        <v>665.302495179183</v>
      </c>
      <c r="D215" s="9" t="n">
        <f aca="false">B215*Inputs!$C$8</f>
        <v>382.362972239508</v>
      </c>
      <c r="E215" s="9" t="n">
        <f aca="false">C215-D215</f>
        <v>282.939522939675</v>
      </c>
      <c r="F215" s="9" t="n">
        <f aca="false">B215-E215</f>
        <v>65264.9985752617</v>
      </c>
    </row>
    <row r="216" customFormat="false" ht="15" hidden="false" customHeight="false" outlineLevel="0" collapsed="false">
      <c r="A216" s="0" t="n">
        <v>215</v>
      </c>
      <c r="B216" s="9" t="n">
        <f aca="false">F215</f>
        <v>65264.9985752617</v>
      </c>
      <c r="C216" s="9" t="n">
        <f aca="false">-PMT(Inputs!$C$8,Inputs!$C$9,Inputs!$C$5)</f>
        <v>665.302495179183</v>
      </c>
      <c r="D216" s="9" t="n">
        <f aca="false">B216*Inputs!$C$8</f>
        <v>380.712491689027</v>
      </c>
      <c r="E216" s="9" t="n">
        <f aca="false">C216-D216</f>
        <v>284.590003490157</v>
      </c>
      <c r="F216" s="9" t="n">
        <f aca="false">B216-E216</f>
        <v>64980.4085717715</v>
      </c>
    </row>
    <row r="217" customFormat="false" ht="15" hidden="false" customHeight="false" outlineLevel="0" collapsed="false">
      <c r="A217" s="0" t="n">
        <v>216</v>
      </c>
      <c r="B217" s="9" t="n">
        <f aca="false">F216</f>
        <v>64980.4085717715</v>
      </c>
      <c r="C217" s="9" t="n">
        <f aca="false">-PMT(Inputs!$C$8,Inputs!$C$9,Inputs!$C$5)</f>
        <v>665.302495179183</v>
      </c>
      <c r="D217" s="9" t="n">
        <f aca="false">B217*Inputs!$C$8</f>
        <v>379.052383335334</v>
      </c>
      <c r="E217" s="9" t="n">
        <f aca="false">C217-D217</f>
        <v>286.250111843849</v>
      </c>
      <c r="F217" s="9" t="n">
        <f aca="false">B217-E217</f>
        <v>64694.1584599277</v>
      </c>
    </row>
    <row r="218" customFormat="false" ht="15" hidden="false" customHeight="false" outlineLevel="0" collapsed="false">
      <c r="A218" s="0" t="n">
        <v>217</v>
      </c>
      <c r="B218" s="9" t="n">
        <f aca="false">F217</f>
        <v>64694.1584599277</v>
      </c>
      <c r="C218" s="9" t="n">
        <f aca="false">-PMT(Inputs!$C$8,Inputs!$C$9,Inputs!$C$5)</f>
        <v>665.302495179183</v>
      </c>
      <c r="D218" s="9" t="n">
        <f aca="false">B218*Inputs!$C$8</f>
        <v>377.382591016245</v>
      </c>
      <c r="E218" s="9" t="n">
        <f aca="false">C218-D218</f>
        <v>287.919904162938</v>
      </c>
      <c r="F218" s="9" t="n">
        <f aca="false">B218-E218</f>
        <v>64406.2385557647</v>
      </c>
    </row>
    <row r="219" customFormat="false" ht="15" hidden="false" customHeight="false" outlineLevel="0" collapsed="false">
      <c r="A219" s="0" t="n">
        <v>218</v>
      </c>
      <c r="B219" s="9" t="n">
        <f aca="false">F218</f>
        <v>64406.2385557647</v>
      </c>
      <c r="C219" s="9" t="n">
        <f aca="false">-PMT(Inputs!$C$8,Inputs!$C$9,Inputs!$C$5)</f>
        <v>665.302495179183</v>
      </c>
      <c r="D219" s="9" t="n">
        <f aca="false">B219*Inputs!$C$8</f>
        <v>375.703058241961</v>
      </c>
      <c r="E219" s="9" t="n">
        <f aca="false">C219-D219</f>
        <v>289.599436937222</v>
      </c>
      <c r="F219" s="9" t="n">
        <f aca="false">B219-E219</f>
        <v>64116.6391188275</v>
      </c>
    </row>
    <row r="220" customFormat="false" ht="15" hidden="false" customHeight="false" outlineLevel="0" collapsed="false">
      <c r="A220" s="0" t="n">
        <v>219</v>
      </c>
      <c r="B220" s="9" t="n">
        <f aca="false">F219</f>
        <v>64116.6391188275</v>
      </c>
      <c r="C220" s="9" t="n">
        <f aca="false">-PMT(Inputs!$C$8,Inputs!$C$9,Inputs!$C$5)</f>
        <v>665.302495179183</v>
      </c>
      <c r="D220" s="9" t="n">
        <f aca="false">B220*Inputs!$C$8</f>
        <v>374.013728193161</v>
      </c>
      <c r="E220" s="9" t="n">
        <f aca="false">C220-D220</f>
        <v>291.288766986023</v>
      </c>
      <c r="F220" s="9" t="n">
        <f aca="false">B220-E220</f>
        <v>63825.3503518415</v>
      </c>
    </row>
    <row r="221" customFormat="false" ht="15" hidden="false" customHeight="false" outlineLevel="0" collapsed="false">
      <c r="A221" s="0" t="n">
        <v>220</v>
      </c>
      <c r="B221" s="9" t="n">
        <f aca="false">F220</f>
        <v>63825.3503518415</v>
      </c>
      <c r="C221" s="9" t="n">
        <f aca="false">-PMT(Inputs!$C$8,Inputs!$C$9,Inputs!$C$5)</f>
        <v>665.302495179183</v>
      </c>
      <c r="D221" s="9" t="n">
        <f aca="false">B221*Inputs!$C$8</f>
        <v>372.314543719075</v>
      </c>
      <c r="E221" s="9" t="n">
        <f aca="false">C221-D221</f>
        <v>292.987951460108</v>
      </c>
      <c r="F221" s="9" t="n">
        <f aca="false">B221-E221</f>
        <v>63532.3624003814</v>
      </c>
    </row>
    <row r="222" customFormat="false" ht="15" hidden="false" customHeight="false" outlineLevel="0" collapsed="false">
      <c r="A222" s="0" t="n">
        <v>221</v>
      </c>
      <c r="B222" s="9" t="n">
        <f aca="false">F221</f>
        <v>63532.3624003814</v>
      </c>
      <c r="C222" s="9" t="n">
        <f aca="false">-PMT(Inputs!$C$8,Inputs!$C$9,Inputs!$C$5)</f>
        <v>665.302495179183</v>
      </c>
      <c r="D222" s="9" t="n">
        <f aca="false">B222*Inputs!$C$8</f>
        <v>370.605447335558</v>
      </c>
      <c r="E222" s="9" t="n">
        <f aca="false">C222-D222</f>
        <v>294.697047843625</v>
      </c>
      <c r="F222" s="9" t="n">
        <f aca="false">B222-E222</f>
        <v>63237.6653525378</v>
      </c>
    </row>
    <row r="223" customFormat="false" ht="15" hidden="false" customHeight="false" outlineLevel="0" collapsed="false">
      <c r="A223" s="0" t="n">
        <v>222</v>
      </c>
      <c r="B223" s="9" t="n">
        <f aca="false">F222</f>
        <v>63237.6653525378</v>
      </c>
      <c r="C223" s="9" t="n">
        <f aca="false">-PMT(Inputs!$C$8,Inputs!$C$9,Inputs!$C$5)</f>
        <v>665.302495179183</v>
      </c>
      <c r="D223" s="9" t="n">
        <f aca="false">B223*Inputs!$C$8</f>
        <v>368.886381223137</v>
      </c>
      <c r="E223" s="9" t="n">
        <f aca="false">C223-D223</f>
        <v>296.416113956046</v>
      </c>
      <c r="F223" s="9" t="n">
        <f aca="false">B223-E223</f>
        <v>62941.2492385817</v>
      </c>
    </row>
    <row r="224" customFormat="false" ht="15" hidden="false" customHeight="false" outlineLevel="0" collapsed="false">
      <c r="A224" s="0" t="n">
        <v>223</v>
      </c>
      <c r="B224" s="9" t="n">
        <f aca="false">F223</f>
        <v>62941.2492385817</v>
      </c>
      <c r="C224" s="9" t="n">
        <f aca="false">-PMT(Inputs!$C$8,Inputs!$C$9,Inputs!$C$5)</f>
        <v>665.302495179183</v>
      </c>
      <c r="D224" s="9" t="n">
        <f aca="false">B224*Inputs!$C$8</f>
        <v>367.15728722506</v>
      </c>
      <c r="E224" s="9" t="n">
        <f aca="false">C224-D224</f>
        <v>298.145207954123</v>
      </c>
      <c r="F224" s="9" t="n">
        <f aca="false">B224-E224</f>
        <v>62643.1040306276</v>
      </c>
    </row>
    <row r="225" customFormat="false" ht="15" hidden="false" customHeight="false" outlineLevel="0" collapsed="false">
      <c r="A225" s="0" t="n">
        <v>224</v>
      </c>
      <c r="B225" s="9" t="n">
        <f aca="false">F224</f>
        <v>62643.1040306276</v>
      </c>
      <c r="C225" s="9" t="n">
        <f aca="false">-PMT(Inputs!$C$8,Inputs!$C$9,Inputs!$C$5)</f>
        <v>665.302495179183</v>
      </c>
      <c r="D225" s="9" t="n">
        <f aca="false">B225*Inputs!$C$8</f>
        <v>365.418106845328</v>
      </c>
      <c r="E225" s="9" t="n">
        <f aca="false">C225-D225</f>
        <v>299.884388333856</v>
      </c>
      <c r="F225" s="9" t="n">
        <f aca="false">B225-E225</f>
        <v>62343.2196422938</v>
      </c>
    </row>
    <row r="226" customFormat="false" ht="15" hidden="false" customHeight="false" outlineLevel="0" collapsed="false">
      <c r="A226" s="0" t="n">
        <v>225</v>
      </c>
      <c r="B226" s="9" t="n">
        <f aca="false">F225</f>
        <v>62343.2196422938</v>
      </c>
      <c r="C226" s="9" t="n">
        <f aca="false">-PMT(Inputs!$C$8,Inputs!$C$9,Inputs!$C$5)</f>
        <v>665.302495179183</v>
      </c>
      <c r="D226" s="9" t="n">
        <f aca="false">B226*Inputs!$C$8</f>
        <v>363.668781246714</v>
      </c>
      <c r="E226" s="9" t="n">
        <f aca="false">C226-D226</f>
        <v>301.63371393247</v>
      </c>
      <c r="F226" s="9" t="n">
        <f aca="false">B226-E226</f>
        <v>62041.5859283613</v>
      </c>
    </row>
    <row r="227" customFormat="false" ht="15" hidden="false" customHeight="false" outlineLevel="0" collapsed="false">
      <c r="A227" s="0" t="n">
        <v>226</v>
      </c>
      <c r="B227" s="9" t="n">
        <f aca="false">F226</f>
        <v>62041.5859283613</v>
      </c>
      <c r="C227" s="9" t="n">
        <f aca="false">-PMT(Inputs!$C$8,Inputs!$C$9,Inputs!$C$5)</f>
        <v>665.302495179183</v>
      </c>
      <c r="D227" s="9" t="n">
        <f aca="false">B227*Inputs!$C$8</f>
        <v>361.909251248774</v>
      </c>
      <c r="E227" s="9" t="n">
        <f aca="false">C227-D227</f>
        <v>303.393243930409</v>
      </c>
      <c r="F227" s="9" t="n">
        <f aca="false">B227-E227</f>
        <v>61738.1926844309</v>
      </c>
    </row>
    <row r="228" customFormat="false" ht="15" hidden="false" customHeight="false" outlineLevel="0" collapsed="false">
      <c r="A228" s="0" t="n">
        <v>227</v>
      </c>
      <c r="B228" s="9" t="n">
        <f aca="false">F227</f>
        <v>61738.1926844309</v>
      </c>
      <c r="C228" s="9" t="n">
        <f aca="false">-PMT(Inputs!$C$8,Inputs!$C$9,Inputs!$C$5)</f>
        <v>665.302495179183</v>
      </c>
      <c r="D228" s="9" t="n">
        <f aca="false">B228*Inputs!$C$8</f>
        <v>360.139457325847</v>
      </c>
      <c r="E228" s="9" t="n">
        <f aca="false">C228-D228</f>
        <v>305.163037853336</v>
      </c>
      <c r="F228" s="9" t="n">
        <f aca="false">B228-E228</f>
        <v>61433.0296465775</v>
      </c>
    </row>
    <row r="229" customFormat="false" ht="15" hidden="false" customHeight="false" outlineLevel="0" collapsed="false">
      <c r="A229" s="0" t="n">
        <v>228</v>
      </c>
      <c r="B229" s="9" t="n">
        <f aca="false">F228</f>
        <v>61433.0296465775</v>
      </c>
      <c r="C229" s="9" t="n">
        <f aca="false">-PMT(Inputs!$C$8,Inputs!$C$9,Inputs!$C$5)</f>
        <v>665.302495179183</v>
      </c>
      <c r="D229" s="9" t="n">
        <f aca="false">B229*Inputs!$C$8</f>
        <v>358.359339605036</v>
      </c>
      <c r="E229" s="9" t="n">
        <f aca="false">C229-D229</f>
        <v>306.943155574148</v>
      </c>
      <c r="F229" s="9" t="n">
        <f aca="false">B229-E229</f>
        <v>61126.0864910034</v>
      </c>
    </row>
    <row r="230" customFormat="false" ht="15" hidden="false" customHeight="false" outlineLevel="0" collapsed="false">
      <c r="A230" s="0" t="n">
        <v>229</v>
      </c>
      <c r="B230" s="9" t="n">
        <f aca="false">F229</f>
        <v>61126.0864910034</v>
      </c>
      <c r="C230" s="9" t="n">
        <f aca="false">-PMT(Inputs!$C$8,Inputs!$C$9,Inputs!$C$5)</f>
        <v>665.302495179183</v>
      </c>
      <c r="D230" s="9" t="n">
        <f aca="false">B230*Inputs!$C$8</f>
        <v>356.568837864186</v>
      </c>
      <c r="E230" s="9" t="n">
        <f aca="false">C230-D230</f>
        <v>308.733657314997</v>
      </c>
      <c r="F230" s="9" t="n">
        <f aca="false">B230-E230</f>
        <v>60817.3528336884</v>
      </c>
    </row>
    <row r="231" customFormat="false" ht="15" hidden="false" customHeight="false" outlineLevel="0" collapsed="false">
      <c r="A231" s="0" t="n">
        <v>230</v>
      </c>
      <c r="B231" s="9" t="n">
        <f aca="false">F230</f>
        <v>60817.3528336884</v>
      </c>
      <c r="C231" s="9" t="n">
        <f aca="false">-PMT(Inputs!$C$8,Inputs!$C$9,Inputs!$C$5)</f>
        <v>665.302495179183</v>
      </c>
      <c r="D231" s="9" t="n">
        <f aca="false">B231*Inputs!$C$8</f>
        <v>354.767891529849</v>
      </c>
      <c r="E231" s="9" t="n">
        <f aca="false">C231-D231</f>
        <v>310.534603649334</v>
      </c>
      <c r="F231" s="9" t="n">
        <f aca="false">B231-E231</f>
        <v>60506.8182300391</v>
      </c>
    </row>
    <row r="232" customFormat="false" ht="15" hidden="false" customHeight="false" outlineLevel="0" collapsed="false">
      <c r="A232" s="0" t="n">
        <v>231</v>
      </c>
      <c r="B232" s="9" t="n">
        <f aca="false">F231</f>
        <v>60506.8182300391</v>
      </c>
      <c r="C232" s="9" t="n">
        <f aca="false">-PMT(Inputs!$C$8,Inputs!$C$9,Inputs!$C$5)</f>
        <v>665.302495179183</v>
      </c>
      <c r="D232" s="9" t="n">
        <f aca="false">B232*Inputs!$C$8</f>
        <v>352.956439675228</v>
      </c>
      <c r="E232" s="9" t="n">
        <f aca="false">C232-D232</f>
        <v>312.346055503955</v>
      </c>
      <c r="F232" s="9" t="n">
        <f aca="false">B232-E232</f>
        <v>60194.4721745351</v>
      </c>
    </row>
    <row r="233" customFormat="false" ht="15" hidden="false" customHeight="false" outlineLevel="0" collapsed="false">
      <c r="A233" s="0" t="n">
        <v>232</v>
      </c>
      <c r="B233" s="9" t="n">
        <f aca="false">F232</f>
        <v>60194.4721745351</v>
      </c>
      <c r="C233" s="9" t="n">
        <f aca="false">-PMT(Inputs!$C$8,Inputs!$C$9,Inputs!$C$5)</f>
        <v>665.302495179183</v>
      </c>
      <c r="D233" s="9" t="n">
        <f aca="false">B233*Inputs!$C$8</f>
        <v>351.134421018121</v>
      </c>
      <c r="E233" s="9" t="n">
        <f aca="false">C233-D233</f>
        <v>314.168074161062</v>
      </c>
      <c r="F233" s="9" t="n">
        <f aca="false">B233-E233</f>
        <v>59880.304100374</v>
      </c>
    </row>
    <row r="234" customFormat="false" ht="15" hidden="false" customHeight="false" outlineLevel="0" collapsed="false">
      <c r="A234" s="0" t="n">
        <v>233</v>
      </c>
      <c r="B234" s="9" t="n">
        <f aca="false">F233</f>
        <v>59880.304100374</v>
      </c>
      <c r="C234" s="9" t="n">
        <f aca="false">-PMT(Inputs!$C$8,Inputs!$C$9,Inputs!$C$5)</f>
        <v>665.302495179183</v>
      </c>
      <c r="D234" s="9" t="n">
        <f aca="false">B234*Inputs!$C$8</f>
        <v>349.301773918849</v>
      </c>
      <c r="E234" s="9" t="n">
        <f aca="false">C234-D234</f>
        <v>316.000721260335</v>
      </c>
      <c r="F234" s="9" t="n">
        <f aca="false">B234-E234</f>
        <v>59564.3033791137</v>
      </c>
    </row>
    <row r="235" customFormat="false" ht="15" hidden="false" customHeight="false" outlineLevel="0" collapsed="false">
      <c r="A235" s="0" t="n">
        <v>234</v>
      </c>
      <c r="B235" s="9" t="n">
        <f aca="false">F234</f>
        <v>59564.3033791137</v>
      </c>
      <c r="C235" s="9" t="n">
        <f aca="false">-PMT(Inputs!$C$8,Inputs!$C$9,Inputs!$C$5)</f>
        <v>665.302495179183</v>
      </c>
      <c r="D235" s="9" t="n">
        <f aca="false">B235*Inputs!$C$8</f>
        <v>347.458436378163</v>
      </c>
      <c r="E235" s="9" t="n">
        <f aca="false">C235-D235</f>
        <v>317.84405880102</v>
      </c>
      <c r="F235" s="9" t="n">
        <f aca="false">B235-E235</f>
        <v>59246.4593203127</v>
      </c>
    </row>
    <row r="236" customFormat="false" ht="15" hidden="false" customHeight="false" outlineLevel="0" collapsed="false">
      <c r="A236" s="0" t="n">
        <v>235</v>
      </c>
      <c r="B236" s="9" t="n">
        <f aca="false">F235</f>
        <v>59246.4593203127</v>
      </c>
      <c r="C236" s="9" t="n">
        <f aca="false">-PMT(Inputs!$C$8,Inputs!$C$9,Inputs!$C$5)</f>
        <v>665.302495179183</v>
      </c>
      <c r="D236" s="9" t="n">
        <f aca="false">B236*Inputs!$C$8</f>
        <v>345.604346035157</v>
      </c>
      <c r="E236" s="9" t="n">
        <f aca="false">C236-D236</f>
        <v>319.698149144026</v>
      </c>
      <c r="F236" s="9" t="n">
        <f aca="false">B236-E236</f>
        <v>58926.7611711687</v>
      </c>
    </row>
    <row r="237" customFormat="false" ht="15" hidden="false" customHeight="false" outlineLevel="0" collapsed="false">
      <c r="A237" s="0" t="n">
        <v>236</v>
      </c>
      <c r="B237" s="9" t="n">
        <f aca="false">F236</f>
        <v>58926.7611711687</v>
      </c>
      <c r="C237" s="9" t="n">
        <f aca="false">-PMT(Inputs!$C$8,Inputs!$C$9,Inputs!$C$5)</f>
        <v>665.302495179183</v>
      </c>
      <c r="D237" s="9" t="n">
        <f aca="false">B237*Inputs!$C$8</f>
        <v>343.739440165151</v>
      </c>
      <c r="E237" s="9" t="n">
        <f aca="false">C237-D237</f>
        <v>321.563055014033</v>
      </c>
      <c r="F237" s="9" t="n">
        <f aca="false">B237-E237</f>
        <v>58605.1981161546</v>
      </c>
    </row>
    <row r="238" customFormat="false" ht="15" hidden="false" customHeight="false" outlineLevel="0" collapsed="false">
      <c r="A238" s="0" t="n">
        <v>237</v>
      </c>
      <c r="B238" s="9" t="n">
        <f aca="false">F237</f>
        <v>58605.1981161546</v>
      </c>
      <c r="C238" s="9" t="n">
        <f aca="false">-PMT(Inputs!$C$8,Inputs!$C$9,Inputs!$C$5)</f>
        <v>665.302495179183</v>
      </c>
      <c r="D238" s="9" t="n">
        <f aca="false">B238*Inputs!$C$8</f>
        <v>341.863655677569</v>
      </c>
      <c r="E238" s="9" t="n">
        <f aca="false">C238-D238</f>
        <v>323.438839501615</v>
      </c>
      <c r="F238" s="9" t="n">
        <f aca="false">B238-E238</f>
        <v>58281.759276653</v>
      </c>
    </row>
    <row r="239" customFormat="false" ht="15" hidden="false" customHeight="false" outlineLevel="0" collapsed="false">
      <c r="A239" s="0" t="n">
        <v>238</v>
      </c>
      <c r="B239" s="9" t="n">
        <f aca="false">F238</f>
        <v>58281.759276653</v>
      </c>
      <c r="C239" s="9" t="n">
        <f aca="false">-PMT(Inputs!$C$8,Inputs!$C$9,Inputs!$C$5)</f>
        <v>665.302495179183</v>
      </c>
      <c r="D239" s="9" t="n">
        <f aca="false">B239*Inputs!$C$8</f>
        <v>339.976929113809</v>
      </c>
      <c r="E239" s="9" t="n">
        <f aca="false">C239-D239</f>
        <v>325.325566065374</v>
      </c>
      <c r="F239" s="9" t="n">
        <f aca="false">B239-E239</f>
        <v>57956.4337105876</v>
      </c>
    </row>
    <row r="240" customFormat="false" ht="15" hidden="false" customHeight="false" outlineLevel="0" collapsed="false">
      <c r="A240" s="0" t="n">
        <v>239</v>
      </c>
      <c r="B240" s="9" t="n">
        <f aca="false">F239</f>
        <v>57956.4337105876</v>
      </c>
      <c r="C240" s="9" t="n">
        <f aca="false">-PMT(Inputs!$C$8,Inputs!$C$9,Inputs!$C$5)</f>
        <v>665.302495179183</v>
      </c>
      <c r="D240" s="9" t="n">
        <f aca="false">B240*Inputs!$C$8</f>
        <v>338.079196645095</v>
      </c>
      <c r="E240" s="9" t="n">
        <f aca="false">C240-D240</f>
        <v>327.223298534089</v>
      </c>
      <c r="F240" s="9" t="n">
        <f aca="false">B240-E240</f>
        <v>57629.2104120535</v>
      </c>
    </row>
    <row r="241" customFormat="false" ht="15" hidden="false" customHeight="false" outlineLevel="0" collapsed="false">
      <c r="A241" s="0" t="n">
        <v>240</v>
      </c>
      <c r="B241" s="9" t="n">
        <f aca="false">F240</f>
        <v>57629.2104120535</v>
      </c>
      <c r="C241" s="9" t="n">
        <f aca="false">-PMT(Inputs!$C$8,Inputs!$C$9,Inputs!$C$5)</f>
        <v>665.302495179183</v>
      </c>
      <c r="D241" s="9" t="n">
        <f aca="false">B241*Inputs!$C$8</f>
        <v>336.170394070312</v>
      </c>
      <c r="E241" s="9" t="n">
        <f aca="false">C241-D241</f>
        <v>329.132101108871</v>
      </c>
      <c r="F241" s="9" t="n">
        <f aca="false">B241-E241</f>
        <v>57300.0783109447</v>
      </c>
    </row>
    <row r="242" customFormat="false" ht="15" hidden="false" customHeight="false" outlineLevel="0" collapsed="false">
      <c r="A242" s="0" t="n">
        <v>241</v>
      </c>
      <c r="B242" s="9" t="n">
        <f aca="false">F241</f>
        <v>57300.0783109447</v>
      </c>
      <c r="C242" s="9" t="n">
        <f aca="false">-PMT(Inputs!$C$8,Inputs!$C$9,Inputs!$C$5)</f>
        <v>665.302495179183</v>
      </c>
      <c r="D242" s="9" t="n">
        <f aca="false">B242*Inputs!$C$8</f>
        <v>334.250456813844</v>
      </c>
      <c r="E242" s="9" t="n">
        <f aca="false">C242-D242</f>
        <v>331.052038365339</v>
      </c>
      <c r="F242" s="9" t="n">
        <f aca="false">B242-E242</f>
        <v>56969.0262725793</v>
      </c>
    </row>
    <row r="243" customFormat="false" ht="15" hidden="false" customHeight="false" outlineLevel="0" collapsed="false">
      <c r="A243" s="0" t="n">
        <v>242</v>
      </c>
      <c r="B243" s="9" t="n">
        <f aca="false">F242</f>
        <v>56969.0262725793</v>
      </c>
      <c r="C243" s="9" t="n">
        <f aca="false">-PMT(Inputs!$C$8,Inputs!$C$9,Inputs!$C$5)</f>
        <v>665.302495179183</v>
      </c>
      <c r="D243" s="9" t="n">
        <f aca="false">B243*Inputs!$C$8</f>
        <v>332.319319923379</v>
      </c>
      <c r="E243" s="9" t="n">
        <f aca="false">C243-D243</f>
        <v>332.983175255804</v>
      </c>
      <c r="F243" s="9" t="n">
        <f aca="false">B243-E243</f>
        <v>56636.0430973235</v>
      </c>
    </row>
    <row r="244" customFormat="false" ht="15" hidden="false" customHeight="false" outlineLevel="0" collapsed="false">
      <c r="A244" s="0" t="n">
        <v>243</v>
      </c>
      <c r="B244" s="9" t="n">
        <f aca="false">F243</f>
        <v>56636.0430973235</v>
      </c>
      <c r="C244" s="9" t="n">
        <f aca="false">-PMT(Inputs!$C$8,Inputs!$C$9,Inputs!$C$5)</f>
        <v>665.302495179183</v>
      </c>
      <c r="D244" s="9" t="n">
        <f aca="false">B244*Inputs!$C$8</f>
        <v>330.376918067721</v>
      </c>
      <c r="E244" s="9" t="n">
        <f aca="false">C244-D244</f>
        <v>334.925577111463</v>
      </c>
      <c r="F244" s="9" t="n">
        <f aca="false">B244-E244</f>
        <v>56301.1175202121</v>
      </c>
    </row>
    <row r="245" customFormat="false" ht="15" hidden="false" customHeight="false" outlineLevel="0" collapsed="false">
      <c r="A245" s="0" t="n">
        <v>244</v>
      </c>
      <c r="B245" s="9" t="n">
        <f aca="false">F244</f>
        <v>56301.1175202121</v>
      </c>
      <c r="C245" s="9" t="n">
        <f aca="false">-PMT(Inputs!$C$8,Inputs!$C$9,Inputs!$C$5)</f>
        <v>665.302495179183</v>
      </c>
      <c r="D245" s="9" t="n">
        <f aca="false">B245*Inputs!$C$8</f>
        <v>328.42318553457</v>
      </c>
      <c r="E245" s="9" t="n">
        <f aca="false">C245-D245</f>
        <v>336.879309644613</v>
      </c>
      <c r="F245" s="9" t="n">
        <f aca="false">B245-E245</f>
        <v>55964.2382105675</v>
      </c>
    </row>
    <row r="246" customFormat="false" ht="15" hidden="false" customHeight="false" outlineLevel="0" collapsed="false">
      <c r="A246" s="0" t="n">
        <v>245</v>
      </c>
      <c r="B246" s="9" t="n">
        <f aca="false">F245</f>
        <v>55964.2382105675</v>
      </c>
      <c r="C246" s="9" t="n">
        <f aca="false">-PMT(Inputs!$C$8,Inputs!$C$9,Inputs!$C$5)</f>
        <v>665.302495179183</v>
      </c>
      <c r="D246" s="9" t="n">
        <f aca="false">B246*Inputs!$C$8</f>
        <v>326.45805622831</v>
      </c>
      <c r="E246" s="9" t="n">
        <f aca="false">C246-D246</f>
        <v>338.844438950873</v>
      </c>
      <c r="F246" s="9" t="n">
        <f aca="false">B246-E246</f>
        <v>55625.3937716166</v>
      </c>
    </row>
    <row r="247" customFormat="false" ht="15" hidden="false" customHeight="false" outlineLevel="0" collapsed="false">
      <c r="A247" s="0" t="n">
        <v>246</v>
      </c>
      <c r="B247" s="9" t="n">
        <f aca="false">F246</f>
        <v>55625.3937716166</v>
      </c>
      <c r="C247" s="9" t="n">
        <f aca="false">-PMT(Inputs!$C$8,Inputs!$C$9,Inputs!$C$5)</f>
        <v>665.302495179183</v>
      </c>
      <c r="D247" s="9" t="n">
        <f aca="false">B247*Inputs!$C$8</f>
        <v>324.481463667763</v>
      </c>
      <c r="E247" s="9" t="n">
        <f aca="false">C247-D247</f>
        <v>340.82103151142</v>
      </c>
      <c r="F247" s="9" t="n">
        <f aca="false">B247-E247</f>
        <v>55284.5727401052</v>
      </c>
    </row>
    <row r="248" customFormat="false" ht="15" hidden="false" customHeight="false" outlineLevel="0" collapsed="false">
      <c r="A248" s="0" t="n">
        <v>247</v>
      </c>
      <c r="B248" s="9" t="n">
        <f aca="false">F247</f>
        <v>55284.5727401052</v>
      </c>
      <c r="C248" s="9" t="n">
        <f aca="false">-PMT(Inputs!$C$8,Inputs!$C$9,Inputs!$C$5)</f>
        <v>665.302495179183</v>
      </c>
      <c r="D248" s="9" t="n">
        <f aca="false">B248*Inputs!$C$8</f>
        <v>322.493340983947</v>
      </c>
      <c r="E248" s="9" t="n">
        <f aca="false">C248-D248</f>
        <v>342.809154195236</v>
      </c>
      <c r="F248" s="9" t="n">
        <f aca="false">B248-E248</f>
        <v>54941.7635859099</v>
      </c>
    </row>
    <row r="249" customFormat="false" ht="15" hidden="false" customHeight="false" outlineLevel="0" collapsed="false">
      <c r="A249" s="0" t="n">
        <v>248</v>
      </c>
      <c r="B249" s="9" t="n">
        <f aca="false">F248</f>
        <v>54941.7635859099</v>
      </c>
      <c r="C249" s="9" t="n">
        <f aca="false">-PMT(Inputs!$C$8,Inputs!$C$9,Inputs!$C$5)</f>
        <v>665.302495179183</v>
      </c>
      <c r="D249" s="9" t="n">
        <f aca="false">B249*Inputs!$C$8</f>
        <v>320.493620917808</v>
      </c>
      <c r="E249" s="9" t="n">
        <f aca="false">C249-D249</f>
        <v>344.808874261375</v>
      </c>
      <c r="F249" s="9" t="n">
        <f aca="false">B249-E249</f>
        <v>54596.9547116486</v>
      </c>
    </row>
    <row r="250" customFormat="false" ht="15" hidden="false" customHeight="false" outlineLevel="0" collapsed="false">
      <c r="A250" s="0" t="n">
        <v>249</v>
      </c>
      <c r="B250" s="9" t="n">
        <f aca="false">F249</f>
        <v>54596.9547116486</v>
      </c>
      <c r="C250" s="9" t="n">
        <f aca="false">-PMT(Inputs!$C$8,Inputs!$C$9,Inputs!$C$5)</f>
        <v>665.302495179183</v>
      </c>
      <c r="D250" s="9" t="n">
        <f aca="false">B250*Inputs!$C$8</f>
        <v>318.48223581795</v>
      </c>
      <c r="E250" s="9" t="n">
        <f aca="false">C250-D250</f>
        <v>346.820259361233</v>
      </c>
      <c r="F250" s="9" t="n">
        <f aca="false">B250-E250</f>
        <v>54250.1344522873</v>
      </c>
    </row>
    <row r="251" customFormat="false" ht="15" hidden="false" customHeight="false" outlineLevel="0" collapsed="false">
      <c r="A251" s="0" t="n">
        <v>250</v>
      </c>
      <c r="B251" s="9" t="n">
        <f aca="false">F250</f>
        <v>54250.1344522873</v>
      </c>
      <c r="C251" s="9" t="n">
        <f aca="false">-PMT(Inputs!$C$8,Inputs!$C$9,Inputs!$C$5)</f>
        <v>665.302495179183</v>
      </c>
      <c r="D251" s="9" t="n">
        <f aca="false">B251*Inputs!$C$8</f>
        <v>316.459117638343</v>
      </c>
      <c r="E251" s="9" t="n">
        <f aca="false">C251-D251</f>
        <v>348.843377540841</v>
      </c>
      <c r="F251" s="9" t="n">
        <f aca="false">B251-E251</f>
        <v>53901.2910747465</v>
      </c>
    </row>
    <row r="252" customFormat="false" ht="15" hidden="false" customHeight="false" outlineLevel="0" collapsed="false">
      <c r="A252" s="0" t="n">
        <v>251</v>
      </c>
      <c r="B252" s="9" t="n">
        <f aca="false">F251</f>
        <v>53901.2910747465</v>
      </c>
      <c r="C252" s="9" t="n">
        <f aca="false">-PMT(Inputs!$C$8,Inputs!$C$9,Inputs!$C$5)</f>
        <v>665.302495179183</v>
      </c>
      <c r="D252" s="9" t="n">
        <f aca="false">B252*Inputs!$C$8</f>
        <v>314.424197936021</v>
      </c>
      <c r="E252" s="9" t="n">
        <f aca="false">C252-D252</f>
        <v>350.878297243162</v>
      </c>
      <c r="F252" s="9" t="n">
        <f aca="false">B252-E252</f>
        <v>53550.4127775033</v>
      </c>
    </row>
    <row r="253" customFormat="false" ht="15" hidden="false" customHeight="false" outlineLevel="0" collapsed="false">
      <c r="A253" s="0" t="n">
        <v>252</v>
      </c>
      <c r="B253" s="9" t="n">
        <f aca="false">F252</f>
        <v>53550.4127775033</v>
      </c>
      <c r="C253" s="9" t="n">
        <f aca="false">-PMT(Inputs!$C$8,Inputs!$C$9,Inputs!$C$5)</f>
        <v>665.302495179183</v>
      </c>
      <c r="D253" s="9" t="n">
        <f aca="false">B253*Inputs!$C$8</f>
        <v>312.377407868769</v>
      </c>
      <c r="E253" s="9" t="n">
        <f aca="false">C253-D253</f>
        <v>352.925087310414</v>
      </c>
      <c r="F253" s="9" t="n">
        <f aca="false">B253-E253</f>
        <v>53197.4876901929</v>
      </c>
    </row>
    <row r="254" customFormat="false" ht="15" hidden="false" customHeight="false" outlineLevel="0" collapsed="false">
      <c r="A254" s="0" t="n">
        <v>253</v>
      </c>
      <c r="B254" s="9" t="n">
        <f aca="false">F253</f>
        <v>53197.4876901929</v>
      </c>
      <c r="C254" s="9" t="n">
        <f aca="false">-PMT(Inputs!$C$8,Inputs!$C$9,Inputs!$C$5)</f>
        <v>665.302495179183</v>
      </c>
      <c r="D254" s="9" t="n">
        <f aca="false">B254*Inputs!$C$8</f>
        <v>310.318678192792</v>
      </c>
      <c r="E254" s="9" t="n">
        <f aca="false">C254-D254</f>
        <v>354.983816986391</v>
      </c>
      <c r="F254" s="9" t="n">
        <f aca="false">B254-E254</f>
        <v>52842.5038732065</v>
      </c>
    </row>
    <row r="255" customFormat="false" ht="15" hidden="false" customHeight="false" outlineLevel="0" collapsed="false">
      <c r="A255" s="0" t="n">
        <v>254</v>
      </c>
      <c r="B255" s="9" t="n">
        <f aca="false">F254</f>
        <v>52842.5038732065</v>
      </c>
      <c r="C255" s="9" t="n">
        <f aca="false">-PMT(Inputs!$C$8,Inputs!$C$9,Inputs!$C$5)</f>
        <v>665.302495179183</v>
      </c>
      <c r="D255" s="9" t="n">
        <f aca="false">B255*Inputs!$C$8</f>
        <v>308.247939260371</v>
      </c>
      <c r="E255" s="9" t="n">
        <f aca="false">C255-D255</f>
        <v>357.054555918812</v>
      </c>
      <c r="F255" s="9" t="n">
        <f aca="false">B255-E255</f>
        <v>52485.4493172877</v>
      </c>
    </row>
    <row r="256" customFormat="false" ht="15" hidden="false" customHeight="false" outlineLevel="0" collapsed="false">
      <c r="A256" s="0" t="n">
        <v>255</v>
      </c>
      <c r="B256" s="9" t="n">
        <f aca="false">F255</f>
        <v>52485.4493172877</v>
      </c>
      <c r="C256" s="9" t="n">
        <f aca="false">-PMT(Inputs!$C$8,Inputs!$C$9,Inputs!$C$5)</f>
        <v>665.302495179183</v>
      </c>
      <c r="D256" s="9" t="n">
        <f aca="false">B256*Inputs!$C$8</f>
        <v>306.165121017512</v>
      </c>
      <c r="E256" s="9" t="n">
        <f aca="false">C256-D256</f>
        <v>359.137374161672</v>
      </c>
      <c r="F256" s="9" t="n">
        <f aca="false">B256-E256</f>
        <v>52126.311943126</v>
      </c>
    </row>
    <row r="257" customFormat="false" ht="15" hidden="false" customHeight="false" outlineLevel="0" collapsed="false">
      <c r="A257" s="0" t="n">
        <v>256</v>
      </c>
      <c r="B257" s="9" t="n">
        <f aca="false">F256</f>
        <v>52126.311943126</v>
      </c>
      <c r="C257" s="9" t="n">
        <f aca="false">-PMT(Inputs!$C$8,Inputs!$C$9,Inputs!$C$5)</f>
        <v>665.302495179183</v>
      </c>
      <c r="D257" s="9" t="n">
        <f aca="false">B257*Inputs!$C$8</f>
        <v>304.070153001568</v>
      </c>
      <c r="E257" s="9" t="n">
        <f aca="false">C257-D257</f>
        <v>361.232342177615</v>
      </c>
      <c r="F257" s="9" t="n">
        <f aca="false">B257-E257</f>
        <v>51765.0796009484</v>
      </c>
    </row>
    <row r="258" customFormat="false" ht="15" hidden="false" customHeight="false" outlineLevel="0" collapsed="false">
      <c r="A258" s="0" t="n">
        <v>257</v>
      </c>
      <c r="B258" s="9" t="n">
        <f aca="false">F257</f>
        <v>51765.0796009484</v>
      </c>
      <c r="C258" s="9" t="n">
        <f aca="false">-PMT(Inputs!$C$8,Inputs!$C$9,Inputs!$C$5)</f>
        <v>665.302495179183</v>
      </c>
      <c r="D258" s="9" t="n">
        <f aca="false">B258*Inputs!$C$8</f>
        <v>301.962964338866</v>
      </c>
      <c r="E258" s="9" t="n">
        <f aca="false">C258-D258</f>
        <v>363.339530840318</v>
      </c>
      <c r="F258" s="9" t="n">
        <f aca="false">B258-E258</f>
        <v>51401.7400701081</v>
      </c>
    </row>
    <row r="259" customFormat="false" ht="15" hidden="false" customHeight="false" outlineLevel="0" collapsed="false">
      <c r="A259" s="0" t="n">
        <v>258</v>
      </c>
      <c r="B259" s="9" t="n">
        <f aca="false">F258</f>
        <v>51401.7400701081</v>
      </c>
      <c r="C259" s="9" t="n">
        <f aca="false">-PMT(Inputs!$C$8,Inputs!$C$9,Inputs!$C$5)</f>
        <v>665.302495179183</v>
      </c>
      <c r="D259" s="9" t="n">
        <f aca="false">B259*Inputs!$C$8</f>
        <v>299.843483742297</v>
      </c>
      <c r="E259" s="9" t="n">
        <f aca="false">C259-D259</f>
        <v>365.459011436886</v>
      </c>
      <c r="F259" s="9" t="n">
        <f aca="false">B259-E259</f>
        <v>51036.2810586712</v>
      </c>
    </row>
    <row r="260" customFormat="false" ht="15" hidden="false" customHeight="false" outlineLevel="0" collapsed="false">
      <c r="A260" s="0" t="n">
        <v>259</v>
      </c>
      <c r="B260" s="9" t="n">
        <f aca="false">F259</f>
        <v>51036.2810586712</v>
      </c>
      <c r="C260" s="9" t="n">
        <f aca="false">-PMT(Inputs!$C$8,Inputs!$C$9,Inputs!$C$5)</f>
        <v>665.302495179183</v>
      </c>
      <c r="D260" s="9" t="n">
        <f aca="false">B260*Inputs!$C$8</f>
        <v>297.711639508915</v>
      </c>
      <c r="E260" s="9" t="n">
        <f aca="false">C260-D260</f>
        <v>367.590855670268</v>
      </c>
      <c r="F260" s="9" t="n">
        <f aca="false">B260-E260</f>
        <v>50668.6902030009</v>
      </c>
    </row>
    <row r="261" customFormat="false" ht="15" hidden="false" customHeight="false" outlineLevel="0" collapsed="false">
      <c r="A261" s="0" t="n">
        <v>260</v>
      </c>
      <c r="B261" s="9" t="n">
        <f aca="false">F260</f>
        <v>50668.6902030009</v>
      </c>
      <c r="C261" s="9" t="n">
        <f aca="false">-PMT(Inputs!$C$8,Inputs!$C$9,Inputs!$C$5)</f>
        <v>665.302495179183</v>
      </c>
      <c r="D261" s="9" t="n">
        <f aca="false">B261*Inputs!$C$8</f>
        <v>295.567359517505</v>
      </c>
      <c r="E261" s="9" t="n">
        <f aca="false">C261-D261</f>
        <v>369.735135661678</v>
      </c>
      <c r="F261" s="9" t="n">
        <f aca="false">B261-E261</f>
        <v>50298.9550673392</v>
      </c>
    </row>
    <row r="262" customFormat="false" ht="15" hidden="false" customHeight="false" outlineLevel="0" collapsed="false">
      <c r="A262" s="0" t="n">
        <v>261</v>
      </c>
      <c r="B262" s="9" t="n">
        <f aca="false">F261</f>
        <v>50298.9550673392</v>
      </c>
      <c r="C262" s="9" t="n">
        <f aca="false">-PMT(Inputs!$C$8,Inputs!$C$9,Inputs!$C$5)</f>
        <v>665.302495179183</v>
      </c>
      <c r="D262" s="9" t="n">
        <f aca="false">B262*Inputs!$C$8</f>
        <v>293.410571226146</v>
      </c>
      <c r="E262" s="9" t="n">
        <f aca="false">C262-D262</f>
        <v>371.891923953038</v>
      </c>
      <c r="F262" s="9" t="n">
        <f aca="false">B262-E262</f>
        <v>49927.0631433862</v>
      </c>
    </row>
    <row r="263" customFormat="false" ht="15" hidden="false" customHeight="false" outlineLevel="0" collapsed="false">
      <c r="A263" s="0" t="n">
        <v>262</v>
      </c>
      <c r="B263" s="9" t="n">
        <f aca="false">F262</f>
        <v>49927.0631433862</v>
      </c>
      <c r="C263" s="9" t="n">
        <f aca="false">-PMT(Inputs!$C$8,Inputs!$C$9,Inputs!$C$5)</f>
        <v>665.302495179183</v>
      </c>
      <c r="D263" s="9" t="n">
        <f aca="false">B263*Inputs!$C$8</f>
        <v>291.241201669753</v>
      </c>
      <c r="E263" s="9" t="n">
        <f aca="false">C263-D263</f>
        <v>374.06129350943</v>
      </c>
      <c r="F263" s="9" t="n">
        <f aca="false">B263-E263</f>
        <v>49553.0018498768</v>
      </c>
    </row>
    <row r="264" customFormat="false" ht="15" hidden="false" customHeight="false" outlineLevel="0" collapsed="false">
      <c r="A264" s="0" t="n">
        <v>263</v>
      </c>
      <c r="B264" s="9" t="n">
        <f aca="false">F263</f>
        <v>49553.0018498768</v>
      </c>
      <c r="C264" s="9" t="n">
        <f aca="false">-PMT(Inputs!$C$8,Inputs!$C$9,Inputs!$C$5)</f>
        <v>665.302495179183</v>
      </c>
      <c r="D264" s="9" t="n">
        <f aca="false">B264*Inputs!$C$8</f>
        <v>289.059177457615</v>
      </c>
      <c r="E264" s="9" t="n">
        <f aca="false">C264-D264</f>
        <v>376.243317721569</v>
      </c>
      <c r="F264" s="9" t="n">
        <f aca="false">B264-E264</f>
        <v>49176.7585321552</v>
      </c>
    </row>
    <row r="265" customFormat="false" ht="15" hidden="false" customHeight="false" outlineLevel="0" collapsed="false">
      <c r="A265" s="0" t="n">
        <v>264</v>
      </c>
      <c r="B265" s="9" t="n">
        <f aca="false">F264</f>
        <v>49176.7585321552</v>
      </c>
      <c r="C265" s="9" t="n">
        <f aca="false">-PMT(Inputs!$C$8,Inputs!$C$9,Inputs!$C$5)</f>
        <v>665.302495179183</v>
      </c>
      <c r="D265" s="9" t="n">
        <f aca="false">B265*Inputs!$C$8</f>
        <v>286.864424770905</v>
      </c>
      <c r="E265" s="9" t="n">
        <f aca="false">C265-D265</f>
        <v>378.438070408278</v>
      </c>
      <c r="F265" s="9" t="n">
        <f aca="false">B265-E265</f>
        <v>48798.3204617469</v>
      </c>
    </row>
    <row r="266" customFormat="false" ht="15" hidden="false" customHeight="false" outlineLevel="0" collapsed="false">
      <c r="A266" s="0" t="n">
        <v>265</v>
      </c>
      <c r="B266" s="9" t="n">
        <f aca="false">F265</f>
        <v>48798.3204617469</v>
      </c>
      <c r="C266" s="9" t="n">
        <f aca="false">-PMT(Inputs!$C$8,Inputs!$C$9,Inputs!$C$5)</f>
        <v>665.302495179183</v>
      </c>
      <c r="D266" s="9" t="n">
        <f aca="false">B266*Inputs!$C$8</f>
        <v>284.65686936019</v>
      </c>
      <c r="E266" s="9" t="n">
        <f aca="false">C266-D266</f>
        <v>380.645625818993</v>
      </c>
      <c r="F266" s="9" t="n">
        <f aca="false">B266-E266</f>
        <v>48417.6748359279</v>
      </c>
    </row>
    <row r="267" customFormat="false" ht="15" hidden="false" customHeight="false" outlineLevel="0" collapsed="false">
      <c r="A267" s="0" t="n">
        <v>266</v>
      </c>
      <c r="B267" s="9" t="n">
        <f aca="false">F266</f>
        <v>48417.6748359279</v>
      </c>
      <c r="C267" s="9" t="n">
        <f aca="false">-PMT(Inputs!$C$8,Inputs!$C$9,Inputs!$C$5)</f>
        <v>665.302495179183</v>
      </c>
      <c r="D267" s="9" t="n">
        <f aca="false">B267*Inputs!$C$8</f>
        <v>282.436436542913</v>
      </c>
      <c r="E267" s="9" t="n">
        <f aca="false">C267-D267</f>
        <v>382.86605863627</v>
      </c>
      <c r="F267" s="9" t="n">
        <f aca="false">B267-E267</f>
        <v>48034.8087772917</v>
      </c>
    </row>
    <row r="268" customFormat="false" ht="15" hidden="false" customHeight="false" outlineLevel="0" collapsed="false">
      <c r="A268" s="0" t="n">
        <v>267</v>
      </c>
      <c r="B268" s="9" t="n">
        <f aca="false">F267</f>
        <v>48034.8087772917</v>
      </c>
      <c r="C268" s="9" t="n">
        <f aca="false">-PMT(Inputs!$C$8,Inputs!$C$9,Inputs!$C$5)</f>
        <v>665.302495179183</v>
      </c>
      <c r="D268" s="9" t="n">
        <f aca="false">B268*Inputs!$C$8</f>
        <v>280.203051200868</v>
      </c>
      <c r="E268" s="9" t="n">
        <f aca="false">C268-D268</f>
        <v>385.099443978315</v>
      </c>
      <c r="F268" s="9" t="n">
        <f aca="false">B268-E268</f>
        <v>47649.7093333133</v>
      </c>
    </row>
    <row r="269" customFormat="false" ht="15" hidden="false" customHeight="false" outlineLevel="0" collapsed="false">
      <c r="A269" s="0" t="n">
        <v>268</v>
      </c>
      <c r="B269" s="9" t="n">
        <f aca="false">F268</f>
        <v>47649.7093333133</v>
      </c>
      <c r="C269" s="9" t="n">
        <f aca="false">-PMT(Inputs!$C$8,Inputs!$C$9,Inputs!$C$5)</f>
        <v>665.302495179183</v>
      </c>
      <c r="D269" s="9" t="n">
        <f aca="false">B269*Inputs!$C$8</f>
        <v>277.956637777661</v>
      </c>
      <c r="E269" s="9" t="n">
        <f aca="false">C269-D269</f>
        <v>387.345857401522</v>
      </c>
      <c r="F269" s="9" t="n">
        <f aca="false">B269-E269</f>
        <v>47262.3634759118</v>
      </c>
    </row>
    <row r="270" customFormat="false" ht="15" hidden="false" customHeight="false" outlineLevel="0" collapsed="false">
      <c r="A270" s="0" t="n">
        <v>269</v>
      </c>
      <c r="B270" s="9" t="n">
        <f aca="false">F269</f>
        <v>47262.3634759118</v>
      </c>
      <c r="C270" s="9" t="n">
        <f aca="false">-PMT(Inputs!$C$8,Inputs!$C$9,Inputs!$C$5)</f>
        <v>665.302495179183</v>
      </c>
      <c r="D270" s="9" t="n">
        <f aca="false">B270*Inputs!$C$8</f>
        <v>275.697120276152</v>
      </c>
      <c r="E270" s="9" t="n">
        <f aca="false">C270-D270</f>
        <v>389.605374903031</v>
      </c>
      <c r="F270" s="9" t="n">
        <f aca="false">B270-E270</f>
        <v>46872.7581010088</v>
      </c>
    </row>
    <row r="271" customFormat="false" ht="15" hidden="false" customHeight="false" outlineLevel="0" collapsed="false">
      <c r="A271" s="0" t="n">
        <v>270</v>
      </c>
      <c r="B271" s="9" t="n">
        <f aca="false">F270</f>
        <v>46872.7581010088</v>
      </c>
      <c r="C271" s="9" t="n">
        <f aca="false">-PMT(Inputs!$C$8,Inputs!$C$9,Inputs!$C$5)</f>
        <v>665.302495179183</v>
      </c>
      <c r="D271" s="9" t="n">
        <f aca="false">B271*Inputs!$C$8</f>
        <v>273.424422255885</v>
      </c>
      <c r="E271" s="9" t="n">
        <f aca="false">C271-D271</f>
        <v>391.878072923299</v>
      </c>
      <c r="F271" s="9" t="n">
        <f aca="false">B271-E271</f>
        <v>46480.8800280855</v>
      </c>
    </row>
    <row r="272" customFormat="false" ht="15" hidden="false" customHeight="false" outlineLevel="0" collapsed="false">
      <c r="A272" s="0" t="n">
        <v>271</v>
      </c>
      <c r="B272" s="9" t="n">
        <f aca="false">F271</f>
        <v>46480.8800280855</v>
      </c>
      <c r="C272" s="9" t="n">
        <f aca="false">-PMT(Inputs!$C$8,Inputs!$C$9,Inputs!$C$5)</f>
        <v>665.302495179183</v>
      </c>
      <c r="D272" s="9" t="n">
        <f aca="false">B272*Inputs!$C$8</f>
        <v>271.138466830499</v>
      </c>
      <c r="E272" s="9" t="n">
        <f aca="false">C272-D272</f>
        <v>394.164028348685</v>
      </c>
      <c r="F272" s="9" t="n">
        <f aca="false">B272-E272</f>
        <v>46086.7159997368</v>
      </c>
    </row>
    <row r="273" customFormat="false" ht="15" hidden="false" customHeight="false" outlineLevel="0" collapsed="false">
      <c r="A273" s="0" t="n">
        <v>272</v>
      </c>
      <c r="B273" s="9" t="n">
        <f aca="false">F272</f>
        <v>46086.7159997368</v>
      </c>
      <c r="C273" s="9" t="n">
        <f aca="false">-PMT(Inputs!$C$8,Inputs!$C$9,Inputs!$C$5)</f>
        <v>665.302495179183</v>
      </c>
      <c r="D273" s="9" t="n">
        <f aca="false">B273*Inputs!$C$8</f>
        <v>268.839176665131</v>
      </c>
      <c r="E273" s="9" t="n">
        <f aca="false">C273-D273</f>
        <v>396.463318514052</v>
      </c>
      <c r="F273" s="9" t="n">
        <f aca="false">B273-E273</f>
        <v>45690.2526812228</v>
      </c>
    </row>
    <row r="274" customFormat="false" ht="15" hidden="false" customHeight="false" outlineLevel="0" collapsed="false">
      <c r="A274" s="0" t="n">
        <v>273</v>
      </c>
      <c r="B274" s="9" t="n">
        <f aca="false">F273</f>
        <v>45690.2526812228</v>
      </c>
      <c r="C274" s="9" t="n">
        <f aca="false">-PMT(Inputs!$C$8,Inputs!$C$9,Inputs!$C$5)</f>
        <v>665.302495179183</v>
      </c>
      <c r="D274" s="9" t="n">
        <f aca="false">B274*Inputs!$C$8</f>
        <v>266.526473973799</v>
      </c>
      <c r="E274" s="9" t="n">
        <f aca="false">C274-D274</f>
        <v>398.776021205384</v>
      </c>
      <c r="F274" s="9" t="n">
        <f aca="false">B274-E274</f>
        <v>45291.4766600174</v>
      </c>
    </row>
    <row r="275" customFormat="false" ht="15" hidden="false" customHeight="false" outlineLevel="0" collapsed="false">
      <c r="A275" s="0" t="n">
        <v>274</v>
      </c>
      <c r="B275" s="9" t="n">
        <f aca="false">F274</f>
        <v>45291.4766600174</v>
      </c>
      <c r="C275" s="9" t="n">
        <f aca="false">-PMT(Inputs!$C$8,Inputs!$C$9,Inputs!$C$5)</f>
        <v>665.302495179183</v>
      </c>
      <c r="D275" s="9" t="n">
        <f aca="false">B275*Inputs!$C$8</f>
        <v>264.200280516768</v>
      </c>
      <c r="E275" s="9" t="n">
        <f aca="false">C275-D275</f>
        <v>401.102214662415</v>
      </c>
      <c r="F275" s="9" t="n">
        <f aca="false">B275-E275</f>
        <v>44890.374445355</v>
      </c>
    </row>
    <row r="276" customFormat="false" ht="15" hidden="false" customHeight="false" outlineLevel="0" collapsed="false">
      <c r="A276" s="0" t="n">
        <v>275</v>
      </c>
      <c r="B276" s="9" t="n">
        <f aca="false">F275</f>
        <v>44890.374445355</v>
      </c>
      <c r="C276" s="9" t="n">
        <f aca="false">-PMT(Inputs!$C$8,Inputs!$C$9,Inputs!$C$5)</f>
        <v>665.302495179183</v>
      </c>
      <c r="D276" s="9" t="n">
        <f aca="false">B276*Inputs!$C$8</f>
        <v>261.860517597904</v>
      </c>
      <c r="E276" s="9" t="n">
        <f aca="false">C276-D276</f>
        <v>403.441977581279</v>
      </c>
      <c r="F276" s="9" t="n">
        <f aca="false">B276-E276</f>
        <v>44486.9324677737</v>
      </c>
    </row>
    <row r="277" customFormat="false" ht="15" hidden="false" customHeight="false" outlineLevel="0" collapsed="false">
      <c r="A277" s="0" t="n">
        <v>276</v>
      </c>
      <c r="B277" s="9" t="n">
        <f aca="false">F276</f>
        <v>44486.9324677737</v>
      </c>
      <c r="C277" s="9" t="n">
        <f aca="false">-PMT(Inputs!$C$8,Inputs!$C$9,Inputs!$C$5)</f>
        <v>665.302495179183</v>
      </c>
      <c r="D277" s="9" t="n">
        <f aca="false">B277*Inputs!$C$8</f>
        <v>259.507106062013</v>
      </c>
      <c r="E277" s="9" t="n">
        <f aca="false">C277-D277</f>
        <v>405.79538911717</v>
      </c>
      <c r="F277" s="9" t="n">
        <f aca="false">B277-E277</f>
        <v>44081.1370786565</v>
      </c>
    </row>
    <row r="278" customFormat="false" ht="15" hidden="false" customHeight="false" outlineLevel="0" collapsed="false">
      <c r="A278" s="0" t="n">
        <v>277</v>
      </c>
      <c r="B278" s="9" t="n">
        <f aca="false">F277</f>
        <v>44081.1370786565</v>
      </c>
      <c r="C278" s="9" t="n">
        <f aca="false">-PMT(Inputs!$C$8,Inputs!$C$9,Inputs!$C$5)</f>
        <v>665.302495179183</v>
      </c>
      <c r="D278" s="9" t="n">
        <f aca="false">B278*Inputs!$C$8</f>
        <v>257.139966292163</v>
      </c>
      <c r="E278" s="9" t="n">
        <f aca="false">C278-D278</f>
        <v>408.16252888702</v>
      </c>
      <c r="F278" s="9" t="n">
        <f aca="false">B278-E278</f>
        <v>43672.9745497695</v>
      </c>
    </row>
    <row r="279" customFormat="false" ht="15" hidden="false" customHeight="false" outlineLevel="0" collapsed="false">
      <c r="A279" s="0" t="n">
        <v>278</v>
      </c>
      <c r="B279" s="9" t="n">
        <f aca="false">F278</f>
        <v>43672.9745497695</v>
      </c>
      <c r="C279" s="9" t="n">
        <f aca="false">-PMT(Inputs!$C$8,Inputs!$C$9,Inputs!$C$5)</f>
        <v>665.302495179183</v>
      </c>
      <c r="D279" s="9" t="n">
        <f aca="false">B279*Inputs!$C$8</f>
        <v>254.759018206989</v>
      </c>
      <c r="E279" s="9" t="n">
        <f aca="false">C279-D279</f>
        <v>410.543476972195</v>
      </c>
      <c r="F279" s="9" t="n">
        <f aca="false">B279-E279</f>
        <v>43262.4310727973</v>
      </c>
    </row>
    <row r="280" customFormat="false" ht="15" hidden="false" customHeight="false" outlineLevel="0" collapsed="false">
      <c r="A280" s="0" t="n">
        <v>279</v>
      </c>
      <c r="B280" s="9" t="n">
        <f aca="false">F279</f>
        <v>43262.4310727973</v>
      </c>
      <c r="C280" s="9" t="n">
        <f aca="false">-PMT(Inputs!$C$8,Inputs!$C$9,Inputs!$C$5)</f>
        <v>665.302495179183</v>
      </c>
      <c r="D280" s="9" t="n">
        <f aca="false">B280*Inputs!$C$8</f>
        <v>252.364181257984</v>
      </c>
      <c r="E280" s="9" t="n">
        <f aca="false">C280-D280</f>
        <v>412.938313921199</v>
      </c>
      <c r="F280" s="9" t="n">
        <f aca="false">B280-E280</f>
        <v>42849.4927588761</v>
      </c>
    </row>
    <row r="281" customFormat="false" ht="15" hidden="false" customHeight="false" outlineLevel="0" collapsed="false">
      <c r="A281" s="0" t="n">
        <v>280</v>
      </c>
      <c r="B281" s="9" t="n">
        <f aca="false">F280</f>
        <v>42849.4927588761</v>
      </c>
      <c r="C281" s="9" t="n">
        <f aca="false">-PMT(Inputs!$C$8,Inputs!$C$9,Inputs!$C$5)</f>
        <v>665.302495179183</v>
      </c>
      <c r="D281" s="9" t="n">
        <f aca="false">B281*Inputs!$C$8</f>
        <v>249.955374426777</v>
      </c>
      <c r="E281" s="9" t="n">
        <f aca="false">C281-D281</f>
        <v>415.347120752406</v>
      </c>
      <c r="F281" s="9" t="n">
        <f aca="false">B281-E281</f>
        <v>42434.1456381237</v>
      </c>
    </row>
    <row r="282" customFormat="false" ht="15" hidden="false" customHeight="false" outlineLevel="0" collapsed="false">
      <c r="A282" s="0" t="n">
        <v>281</v>
      </c>
      <c r="B282" s="9" t="n">
        <f aca="false">F281</f>
        <v>42434.1456381237</v>
      </c>
      <c r="C282" s="9" t="n">
        <f aca="false">-PMT(Inputs!$C$8,Inputs!$C$9,Inputs!$C$5)</f>
        <v>665.302495179183</v>
      </c>
      <c r="D282" s="9" t="n">
        <f aca="false">B282*Inputs!$C$8</f>
        <v>247.532516222388</v>
      </c>
      <c r="E282" s="9" t="n">
        <f aca="false">C282-D282</f>
        <v>417.769978956795</v>
      </c>
      <c r="F282" s="9" t="n">
        <f aca="false">B282-E282</f>
        <v>42016.3756591669</v>
      </c>
    </row>
    <row r="283" customFormat="false" ht="15" hidden="false" customHeight="false" outlineLevel="0" collapsed="false">
      <c r="A283" s="0" t="n">
        <v>282</v>
      </c>
      <c r="B283" s="9" t="n">
        <f aca="false">F282</f>
        <v>42016.3756591669</v>
      </c>
      <c r="C283" s="9" t="n">
        <f aca="false">-PMT(Inputs!$C$8,Inputs!$C$9,Inputs!$C$5)</f>
        <v>665.302495179183</v>
      </c>
      <c r="D283" s="9" t="n">
        <f aca="false">B283*Inputs!$C$8</f>
        <v>245.095524678474</v>
      </c>
      <c r="E283" s="9" t="n">
        <f aca="false">C283-D283</f>
        <v>420.20697050071</v>
      </c>
      <c r="F283" s="9" t="n">
        <f aca="false">B283-E283</f>
        <v>41596.1686886662</v>
      </c>
    </row>
    <row r="284" customFormat="false" ht="15" hidden="false" customHeight="false" outlineLevel="0" collapsed="false">
      <c r="A284" s="0" t="n">
        <v>283</v>
      </c>
      <c r="B284" s="9" t="n">
        <f aca="false">F283</f>
        <v>41596.1686886662</v>
      </c>
      <c r="C284" s="9" t="n">
        <f aca="false">-PMT(Inputs!$C$8,Inputs!$C$9,Inputs!$C$5)</f>
        <v>665.302495179183</v>
      </c>
      <c r="D284" s="9" t="n">
        <f aca="false">B284*Inputs!$C$8</f>
        <v>242.644317350553</v>
      </c>
      <c r="E284" s="9" t="n">
        <f aca="false">C284-D284</f>
        <v>422.65817782863</v>
      </c>
      <c r="F284" s="9" t="n">
        <f aca="false">B284-E284</f>
        <v>41173.5105108376</v>
      </c>
    </row>
    <row r="285" customFormat="false" ht="15" hidden="false" customHeight="false" outlineLevel="0" collapsed="false">
      <c r="A285" s="0" t="n">
        <v>284</v>
      </c>
      <c r="B285" s="9" t="n">
        <f aca="false">F284</f>
        <v>41173.5105108376</v>
      </c>
      <c r="C285" s="9" t="n">
        <f aca="false">-PMT(Inputs!$C$8,Inputs!$C$9,Inputs!$C$5)</f>
        <v>665.302495179183</v>
      </c>
      <c r="D285" s="9" t="n">
        <f aca="false">B285*Inputs!$C$8</f>
        <v>240.178811313219</v>
      </c>
      <c r="E285" s="9" t="n">
        <f aca="false">C285-D285</f>
        <v>425.123683865964</v>
      </c>
      <c r="F285" s="9" t="n">
        <f aca="false">B285-E285</f>
        <v>40748.3868269716</v>
      </c>
    </row>
    <row r="286" customFormat="false" ht="15" hidden="false" customHeight="false" outlineLevel="0" collapsed="false">
      <c r="A286" s="0" t="n">
        <v>285</v>
      </c>
      <c r="B286" s="9" t="n">
        <f aca="false">F285</f>
        <v>40748.3868269716</v>
      </c>
      <c r="C286" s="9" t="n">
        <f aca="false">-PMT(Inputs!$C$8,Inputs!$C$9,Inputs!$C$5)</f>
        <v>665.302495179183</v>
      </c>
      <c r="D286" s="9" t="n">
        <f aca="false">B286*Inputs!$C$8</f>
        <v>237.698923157334</v>
      </c>
      <c r="E286" s="9" t="n">
        <f aca="false">C286-D286</f>
        <v>427.603572021849</v>
      </c>
      <c r="F286" s="9" t="n">
        <f aca="false">B286-E286</f>
        <v>40320.7832549498</v>
      </c>
    </row>
    <row r="287" customFormat="false" ht="15" hidden="false" customHeight="false" outlineLevel="0" collapsed="false">
      <c r="A287" s="0" t="n">
        <v>286</v>
      </c>
      <c r="B287" s="9" t="n">
        <f aca="false">F286</f>
        <v>40320.7832549498</v>
      </c>
      <c r="C287" s="9" t="n">
        <f aca="false">-PMT(Inputs!$C$8,Inputs!$C$9,Inputs!$C$5)</f>
        <v>665.302495179183</v>
      </c>
      <c r="D287" s="9" t="n">
        <f aca="false">B287*Inputs!$C$8</f>
        <v>235.204568987207</v>
      </c>
      <c r="E287" s="9" t="n">
        <f aca="false">C287-D287</f>
        <v>430.097926191976</v>
      </c>
      <c r="F287" s="9" t="n">
        <f aca="false">B287-E287</f>
        <v>39890.6853287578</v>
      </c>
    </row>
    <row r="288" customFormat="false" ht="15" hidden="false" customHeight="false" outlineLevel="0" collapsed="false">
      <c r="A288" s="0" t="n">
        <v>287</v>
      </c>
      <c r="B288" s="9" t="n">
        <f aca="false">F287</f>
        <v>39890.6853287578</v>
      </c>
      <c r="C288" s="9" t="n">
        <f aca="false">-PMT(Inputs!$C$8,Inputs!$C$9,Inputs!$C$5)</f>
        <v>665.302495179183</v>
      </c>
      <c r="D288" s="9" t="n">
        <f aca="false">B288*Inputs!$C$8</f>
        <v>232.695664417754</v>
      </c>
      <c r="E288" s="9" t="n">
        <f aca="false">C288-D288</f>
        <v>432.60683076143</v>
      </c>
      <c r="F288" s="9" t="n">
        <f aca="false">B288-E288</f>
        <v>39458.0784979963</v>
      </c>
    </row>
    <row r="289" customFormat="false" ht="15" hidden="false" customHeight="false" outlineLevel="0" collapsed="false">
      <c r="A289" s="0" t="n">
        <v>288</v>
      </c>
      <c r="B289" s="9" t="n">
        <f aca="false">F288</f>
        <v>39458.0784979963</v>
      </c>
      <c r="C289" s="9" t="n">
        <f aca="false">-PMT(Inputs!$C$8,Inputs!$C$9,Inputs!$C$5)</f>
        <v>665.302495179183</v>
      </c>
      <c r="D289" s="9" t="n">
        <f aca="false">B289*Inputs!$C$8</f>
        <v>230.172124571645</v>
      </c>
      <c r="E289" s="9" t="n">
        <f aca="false">C289-D289</f>
        <v>435.130370607538</v>
      </c>
      <c r="F289" s="9" t="n">
        <f aca="false">B289-E289</f>
        <v>39022.9481273888</v>
      </c>
    </row>
    <row r="290" customFormat="false" ht="15" hidden="false" customHeight="false" outlineLevel="0" collapsed="false">
      <c r="A290" s="0" t="n">
        <v>289</v>
      </c>
      <c r="B290" s="9" t="n">
        <f aca="false">F289</f>
        <v>39022.9481273888</v>
      </c>
      <c r="C290" s="9" t="n">
        <f aca="false">-PMT(Inputs!$C$8,Inputs!$C$9,Inputs!$C$5)</f>
        <v>665.302495179183</v>
      </c>
      <c r="D290" s="9" t="n">
        <f aca="false">B290*Inputs!$C$8</f>
        <v>227.633864076435</v>
      </c>
      <c r="E290" s="9" t="n">
        <f aca="false">C290-D290</f>
        <v>437.668631102749</v>
      </c>
      <c r="F290" s="9" t="n">
        <f aca="false">B290-E290</f>
        <v>38585.279496286</v>
      </c>
    </row>
    <row r="291" customFormat="false" ht="15" hidden="false" customHeight="false" outlineLevel="0" collapsed="false">
      <c r="A291" s="0" t="n">
        <v>290</v>
      </c>
      <c r="B291" s="9" t="n">
        <f aca="false">F290</f>
        <v>38585.279496286</v>
      </c>
      <c r="C291" s="9" t="n">
        <f aca="false">-PMT(Inputs!$C$8,Inputs!$C$9,Inputs!$C$5)</f>
        <v>665.302495179183</v>
      </c>
      <c r="D291" s="9" t="n">
        <f aca="false">B291*Inputs!$C$8</f>
        <v>225.080797061669</v>
      </c>
      <c r="E291" s="9" t="n">
        <f aca="false">C291-D291</f>
        <v>440.221698117515</v>
      </c>
      <c r="F291" s="9" t="n">
        <f aca="false">B291-E291</f>
        <v>38145.0577981685</v>
      </c>
    </row>
    <row r="292" customFormat="false" ht="15" hidden="false" customHeight="false" outlineLevel="0" collapsed="false">
      <c r="A292" s="0" t="n">
        <v>291</v>
      </c>
      <c r="B292" s="9" t="n">
        <f aca="false">F291</f>
        <v>38145.0577981685</v>
      </c>
      <c r="C292" s="9" t="n">
        <f aca="false">-PMT(Inputs!$C$8,Inputs!$C$9,Inputs!$C$5)</f>
        <v>665.302495179183</v>
      </c>
      <c r="D292" s="9" t="n">
        <f aca="false">B292*Inputs!$C$8</f>
        <v>222.512837155983</v>
      </c>
      <c r="E292" s="9" t="n">
        <f aca="false">C292-D292</f>
        <v>442.7896580232</v>
      </c>
      <c r="F292" s="9" t="n">
        <f aca="false">B292-E292</f>
        <v>37702.2681401453</v>
      </c>
    </row>
    <row r="293" customFormat="false" ht="15" hidden="false" customHeight="false" outlineLevel="0" collapsed="false">
      <c r="A293" s="0" t="n">
        <v>292</v>
      </c>
      <c r="B293" s="9" t="n">
        <f aca="false">F292</f>
        <v>37702.2681401453</v>
      </c>
      <c r="C293" s="9" t="n">
        <f aca="false">-PMT(Inputs!$C$8,Inputs!$C$9,Inputs!$C$5)</f>
        <v>665.302495179183</v>
      </c>
      <c r="D293" s="9" t="n">
        <f aca="false">B293*Inputs!$C$8</f>
        <v>219.929897484181</v>
      </c>
      <c r="E293" s="9" t="n">
        <f aca="false">C293-D293</f>
        <v>445.372597695002</v>
      </c>
      <c r="F293" s="9" t="n">
        <f aca="false">B293-E293</f>
        <v>37256.8955424503</v>
      </c>
    </row>
    <row r="294" customFormat="false" ht="15" hidden="false" customHeight="false" outlineLevel="0" collapsed="false">
      <c r="A294" s="0" t="n">
        <v>293</v>
      </c>
      <c r="B294" s="9" t="n">
        <f aca="false">F293</f>
        <v>37256.8955424503</v>
      </c>
      <c r="C294" s="9" t="n">
        <f aca="false">-PMT(Inputs!$C$8,Inputs!$C$9,Inputs!$C$5)</f>
        <v>665.302495179183</v>
      </c>
      <c r="D294" s="9" t="n">
        <f aca="false">B294*Inputs!$C$8</f>
        <v>217.331890664294</v>
      </c>
      <c r="E294" s="9" t="n">
        <f aca="false">C294-D294</f>
        <v>447.97060451489</v>
      </c>
      <c r="F294" s="9" t="n">
        <f aca="false">B294-E294</f>
        <v>36808.9249379354</v>
      </c>
    </row>
    <row r="295" customFormat="false" ht="15" hidden="false" customHeight="false" outlineLevel="0" collapsed="false">
      <c r="A295" s="0" t="n">
        <v>294</v>
      </c>
      <c r="B295" s="9" t="n">
        <f aca="false">F294</f>
        <v>36808.9249379354</v>
      </c>
      <c r="C295" s="9" t="n">
        <f aca="false">-PMT(Inputs!$C$8,Inputs!$C$9,Inputs!$C$5)</f>
        <v>665.302495179183</v>
      </c>
      <c r="D295" s="9" t="n">
        <f aca="false">B295*Inputs!$C$8</f>
        <v>214.718728804623</v>
      </c>
      <c r="E295" s="9" t="n">
        <f aca="false">C295-D295</f>
        <v>450.58376637456</v>
      </c>
      <c r="F295" s="9" t="n">
        <f aca="false">B295-E295</f>
        <v>36358.3411715609</v>
      </c>
    </row>
    <row r="296" customFormat="false" ht="15" hidden="false" customHeight="false" outlineLevel="0" collapsed="false">
      <c r="A296" s="0" t="n">
        <v>295</v>
      </c>
      <c r="B296" s="9" t="n">
        <f aca="false">F295</f>
        <v>36358.3411715609</v>
      </c>
      <c r="C296" s="9" t="n">
        <f aca="false">-PMT(Inputs!$C$8,Inputs!$C$9,Inputs!$C$5)</f>
        <v>665.302495179183</v>
      </c>
      <c r="D296" s="9" t="n">
        <f aca="false">B296*Inputs!$C$8</f>
        <v>212.090323500772</v>
      </c>
      <c r="E296" s="9" t="n">
        <f aca="false">C296-D296</f>
        <v>453.212171678411</v>
      </c>
      <c r="F296" s="9" t="n">
        <f aca="false">B296-E296</f>
        <v>35905.1289998825</v>
      </c>
    </row>
    <row r="297" customFormat="false" ht="15" hidden="false" customHeight="false" outlineLevel="0" collapsed="false">
      <c r="A297" s="0" t="n">
        <v>296</v>
      </c>
      <c r="B297" s="9" t="n">
        <f aca="false">F296</f>
        <v>35905.1289998825</v>
      </c>
      <c r="C297" s="9" t="n">
        <f aca="false">-PMT(Inputs!$C$8,Inputs!$C$9,Inputs!$C$5)</f>
        <v>665.302495179183</v>
      </c>
      <c r="D297" s="9" t="n">
        <f aca="false">B297*Inputs!$C$8</f>
        <v>209.446585832648</v>
      </c>
      <c r="E297" s="9" t="n">
        <f aca="false">C297-D297</f>
        <v>455.855909346536</v>
      </c>
      <c r="F297" s="9" t="n">
        <f aca="false">B297-E297</f>
        <v>35449.2730905359</v>
      </c>
    </row>
    <row r="298" customFormat="false" ht="15" hidden="false" customHeight="false" outlineLevel="0" collapsed="false">
      <c r="A298" s="0" t="n">
        <v>297</v>
      </c>
      <c r="B298" s="9" t="n">
        <f aca="false">F297</f>
        <v>35449.2730905359</v>
      </c>
      <c r="C298" s="9" t="n">
        <f aca="false">-PMT(Inputs!$C$8,Inputs!$C$9,Inputs!$C$5)</f>
        <v>665.302495179183</v>
      </c>
      <c r="D298" s="9" t="n">
        <f aca="false">B298*Inputs!$C$8</f>
        <v>206.78742636146</v>
      </c>
      <c r="E298" s="9" t="n">
        <f aca="false">C298-D298</f>
        <v>458.515068817724</v>
      </c>
      <c r="F298" s="9" t="n">
        <f aca="false">B298-E298</f>
        <v>34990.7580217182</v>
      </c>
    </row>
    <row r="299" customFormat="false" ht="15" hidden="false" customHeight="false" outlineLevel="0" collapsed="false">
      <c r="A299" s="0" t="n">
        <v>298</v>
      </c>
      <c r="B299" s="9" t="n">
        <f aca="false">F298</f>
        <v>34990.7580217182</v>
      </c>
      <c r="C299" s="9" t="n">
        <f aca="false">-PMT(Inputs!$C$8,Inputs!$C$9,Inputs!$C$5)</f>
        <v>665.302495179183</v>
      </c>
      <c r="D299" s="9" t="n">
        <f aca="false">B299*Inputs!$C$8</f>
        <v>204.11275512669</v>
      </c>
      <c r="E299" s="9" t="n">
        <f aca="false">C299-D299</f>
        <v>461.189740052494</v>
      </c>
      <c r="F299" s="9" t="n">
        <f aca="false">B299-E299</f>
        <v>34529.5682816657</v>
      </c>
    </row>
    <row r="300" customFormat="false" ht="15" hidden="false" customHeight="false" outlineLevel="0" collapsed="false">
      <c r="A300" s="0" t="n">
        <v>299</v>
      </c>
      <c r="B300" s="9" t="n">
        <f aca="false">F299</f>
        <v>34529.5682816657</v>
      </c>
      <c r="C300" s="9" t="n">
        <f aca="false">-PMT(Inputs!$C$8,Inputs!$C$9,Inputs!$C$5)</f>
        <v>665.302495179183</v>
      </c>
      <c r="D300" s="9" t="n">
        <f aca="false">B300*Inputs!$C$8</f>
        <v>201.42248164305</v>
      </c>
      <c r="E300" s="9" t="n">
        <f aca="false">C300-D300</f>
        <v>463.880013536133</v>
      </c>
      <c r="F300" s="9" t="n">
        <f aca="false">B300-E300</f>
        <v>34065.6882681296</v>
      </c>
    </row>
    <row r="301" customFormat="false" ht="15" hidden="false" customHeight="false" outlineLevel="0" collapsed="false">
      <c r="A301" s="0" t="n">
        <v>300</v>
      </c>
      <c r="B301" s="9" t="n">
        <f aca="false">F300</f>
        <v>34065.6882681296</v>
      </c>
      <c r="C301" s="9" t="n">
        <f aca="false">-PMT(Inputs!$C$8,Inputs!$C$9,Inputs!$C$5)</f>
        <v>665.302495179183</v>
      </c>
      <c r="D301" s="9" t="n">
        <f aca="false">B301*Inputs!$C$8</f>
        <v>198.716514897423</v>
      </c>
      <c r="E301" s="9" t="n">
        <f aca="false">C301-D301</f>
        <v>466.585980281761</v>
      </c>
      <c r="F301" s="9" t="n">
        <f aca="false">B301-E301</f>
        <v>33599.1022878478</v>
      </c>
    </row>
    <row r="302" customFormat="false" ht="15" hidden="false" customHeight="false" outlineLevel="0" collapsed="false">
      <c r="A302" s="0" t="n">
        <v>301</v>
      </c>
      <c r="B302" s="9" t="n">
        <f aca="false">F301</f>
        <v>33599.1022878478</v>
      </c>
      <c r="C302" s="9" t="n">
        <f aca="false">-PMT(Inputs!$C$8,Inputs!$C$9,Inputs!$C$5)</f>
        <v>665.302495179183</v>
      </c>
      <c r="D302" s="9" t="n">
        <f aca="false">B302*Inputs!$C$8</f>
        <v>195.994763345779</v>
      </c>
      <c r="E302" s="9" t="n">
        <f aca="false">C302-D302</f>
        <v>469.307731833404</v>
      </c>
      <c r="F302" s="9" t="n">
        <f aca="false">B302-E302</f>
        <v>33129.7945560144</v>
      </c>
    </row>
    <row r="303" customFormat="false" ht="15" hidden="false" customHeight="false" outlineLevel="0" collapsed="false">
      <c r="A303" s="0" t="n">
        <v>302</v>
      </c>
      <c r="B303" s="9" t="n">
        <f aca="false">F302</f>
        <v>33129.7945560144</v>
      </c>
      <c r="C303" s="9" t="n">
        <f aca="false">-PMT(Inputs!$C$8,Inputs!$C$9,Inputs!$C$5)</f>
        <v>665.302495179183</v>
      </c>
      <c r="D303" s="9" t="n">
        <f aca="false">B303*Inputs!$C$8</f>
        <v>193.257134910084</v>
      </c>
      <c r="E303" s="9" t="n">
        <f aca="false">C303-D303</f>
        <v>472.045360269099</v>
      </c>
      <c r="F303" s="9" t="n">
        <f aca="false">B303-E303</f>
        <v>32657.7491957453</v>
      </c>
    </row>
    <row r="304" customFormat="false" ht="15" hidden="false" customHeight="false" outlineLevel="0" collapsed="false">
      <c r="A304" s="0" t="n">
        <v>303</v>
      </c>
      <c r="B304" s="9" t="n">
        <f aca="false">F303</f>
        <v>32657.7491957453</v>
      </c>
      <c r="C304" s="9" t="n">
        <f aca="false">-PMT(Inputs!$C$8,Inputs!$C$9,Inputs!$C$5)</f>
        <v>665.302495179183</v>
      </c>
      <c r="D304" s="9" t="n">
        <f aca="false">B304*Inputs!$C$8</f>
        <v>190.503536975181</v>
      </c>
      <c r="E304" s="9" t="n">
        <f aca="false">C304-D304</f>
        <v>474.798958204002</v>
      </c>
      <c r="F304" s="9" t="n">
        <f aca="false">B304-E304</f>
        <v>32182.9502375413</v>
      </c>
    </row>
    <row r="305" customFormat="false" ht="15" hidden="false" customHeight="false" outlineLevel="0" collapsed="false">
      <c r="A305" s="0" t="n">
        <v>304</v>
      </c>
      <c r="B305" s="9" t="n">
        <f aca="false">F304</f>
        <v>32182.9502375413</v>
      </c>
      <c r="C305" s="9" t="n">
        <f aca="false">-PMT(Inputs!$C$8,Inputs!$C$9,Inputs!$C$5)</f>
        <v>665.302495179183</v>
      </c>
      <c r="D305" s="9" t="n">
        <f aca="false">B305*Inputs!$C$8</f>
        <v>187.733876385658</v>
      </c>
      <c r="E305" s="9" t="n">
        <f aca="false">C305-D305</f>
        <v>477.568618793526</v>
      </c>
      <c r="F305" s="9" t="n">
        <f aca="false">B305-E305</f>
        <v>31705.3816187478</v>
      </c>
    </row>
    <row r="306" customFormat="false" ht="15" hidden="false" customHeight="false" outlineLevel="0" collapsed="false">
      <c r="A306" s="0" t="n">
        <v>305</v>
      </c>
      <c r="B306" s="9" t="n">
        <f aca="false">F305</f>
        <v>31705.3816187478</v>
      </c>
      <c r="C306" s="9" t="n">
        <f aca="false">-PMT(Inputs!$C$8,Inputs!$C$9,Inputs!$C$5)</f>
        <v>665.302495179183</v>
      </c>
      <c r="D306" s="9" t="n">
        <f aca="false">B306*Inputs!$C$8</f>
        <v>184.948059442696</v>
      </c>
      <c r="E306" s="9" t="n">
        <f aca="false">C306-D306</f>
        <v>480.354435736488</v>
      </c>
      <c r="F306" s="9" t="n">
        <f aca="false">B306-E306</f>
        <v>31225.0271830113</v>
      </c>
    </row>
    <row r="307" customFormat="false" ht="15" hidden="false" customHeight="false" outlineLevel="0" collapsed="false">
      <c r="A307" s="0" t="n">
        <v>306</v>
      </c>
      <c r="B307" s="9" t="n">
        <f aca="false">F306</f>
        <v>31225.0271830113</v>
      </c>
      <c r="C307" s="9" t="n">
        <f aca="false">-PMT(Inputs!$C$8,Inputs!$C$9,Inputs!$C$5)</f>
        <v>665.302495179183</v>
      </c>
      <c r="D307" s="9" t="n">
        <f aca="false">B307*Inputs!$C$8</f>
        <v>182.145991900899</v>
      </c>
      <c r="E307" s="9" t="n">
        <f aca="false">C307-D307</f>
        <v>483.156503278284</v>
      </c>
      <c r="F307" s="9" t="n">
        <f aca="false">B307-E307</f>
        <v>30741.870679733</v>
      </c>
    </row>
    <row r="308" customFormat="false" ht="15" hidden="false" customHeight="false" outlineLevel="0" collapsed="false">
      <c r="A308" s="0" t="n">
        <v>307</v>
      </c>
      <c r="B308" s="9" t="n">
        <f aca="false">F307</f>
        <v>30741.870679733</v>
      </c>
      <c r="C308" s="9" t="n">
        <f aca="false">-PMT(Inputs!$C$8,Inputs!$C$9,Inputs!$C$5)</f>
        <v>665.302495179183</v>
      </c>
      <c r="D308" s="9" t="n">
        <f aca="false">B308*Inputs!$C$8</f>
        <v>179.327578965109</v>
      </c>
      <c r="E308" s="9" t="n">
        <f aca="false">C308-D308</f>
        <v>485.974916214074</v>
      </c>
      <c r="F308" s="9" t="n">
        <f aca="false">B308-E308</f>
        <v>30255.895763519</v>
      </c>
    </row>
    <row r="309" customFormat="false" ht="15" hidden="false" customHeight="false" outlineLevel="0" collapsed="false">
      <c r="A309" s="0" t="n">
        <v>308</v>
      </c>
      <c r="B309" s="9" t="n">
        <f aca="false">F308</f>
        <v>30255.895763519</v>
      </c>
      <c r="C309" s="9" t="n">
        <f aca="false">-PMT(Inputs!$C$8,Inputs!$C$9,Inputs!$C$5)</f>
        <v>665.302495179183</v>
      </c>
      <c r="D309" s="9" t="n">
        <f aca="false">B309*Inputs!$C$8</f>
        <v>176.492725287194</v>
      </c>
      <c r="E309" s="9" t="n">
        <f aca="false">C309-D309</f>
        <v>488.809769891989</v>
      </c>
      <c r="F309" s="9" t="n">
        <f aca="false">B309-E309</f>
        <v>29767.085993627</v>
      </c>
    </row>
    <row r="310" customFormat="false" ht="15" hidden="false" customHeight="false" outlineLevel="0" collapsed="false">
      <c r="A310" s="0" t="n">
        <v>309</v>
      </c>
      <c r="B310" s="9" t="n">
        <f aca="false">F309</f>
        <v>29767.085993627</v>
      </c>
      <c r="C310" s="9" t="n">
        <f aca="false">-PMT(Inputs!$C$8,Inputs!$C$9,Inputs!$C$5)</f>
        <v>665.302495179183</v>
      </c>
      <c r="D310" s="9" t="n">
        <f aca="false">B310*Inputs!$C$8</f>
        <v>173.641334962824</v>
      </c>
      <c r="E310" s="9" t="n">
        <f aca="false">C310-D310</f>
        <v>491.661160216359</v>
      </c>
      <c r="F310" s="9" t="n">
        <f aca="false">B310-E310</f>
        <v>29275.4248334106</v>
      </c>
    </row>
    <row r="311" customFormat="false" ht="15" hidden="false" customHeight="false" outlineLevel="0" collapsed="false">
      <c r="A311" s="0" t="n">
        <v>310</v>
      </c>
      <c r="B311" s="9" t="n">
        <f aca="false">F310</f>
        <v>29275.4248334106</v>
      </c>
      <c r="C311" s="9" t="n">
        <f aca="false">-PMT(Inputs!$C$8,Inputs!$C$9,Inputs!$C$5)</f>
        <v>665.302495179183</v>
      </c>
      <c r="D311" s="9" t="n">
        <f aca="false">B311*Inputs!$C$8</f>
        <v>170.773311528229</v>
      </c>
      <c r="E311" s="9" t="n">
        <f aca="false">C311-D311</f>
        <v>494.529183650955</v>
      </c>
      <c r="F311" s="9" t="n">
        <f aca="false">B311-E311</f>
        <v>28780.8956497597</v>
      </c>
    </row>
    <row r="312" customFormat="false" ht="15" hidden="false" customHeight="false" outlineLevel="0" collapsed="false">
      <c r="A312" s="0" t="n">
        <v>311</v>
      </c>
      <c r="B312" s="9" t="n">
        <f aca="false">F311</f>
        <v>28780.8956497597</v>
      </c>
      <c r="C312" s="9" t="n">
        <f aca="false">-PMT(Inputs!$C$8,Inputs!$C$9,Inputs!$C$5)</f>
        <v>665.302495179183</v>
      </c>
      <c r="D312" s="9" t="n">
        <f aca="false">B312*Inputs!$C$8</f>
        <v>167.888557956931</v>
      </c>
      <c r="E312" s="9" t="n">
        <f aca="false">C312-D312</f>
        <v>497.413937222252</v>
      </c>
      <c r="F312" s="9" t="n">
        <f aca="false">B312-E312</f>
        <v>28283.4817125374</v>
      </c>
    </row>
    <row r="313" customFormat="false" ht="15" hidden="false" customHeight="false" outlineLevel="0" collapsed="false">
      <c r="A313" s="0" t="n">
        <v>312</v>
      </c>
      <c r="B313" s="9" t="n">
        <f aca="false">F312</f>
        <v>28283.4817125374</v>
      </c>
      <c r="C313" s="9" t="n">
        <f aca="false">-PMT(Inputs!$C$8,Inputs!$C$9,Inputs!$C$5)</f>
        <v>665.302495179183</v>
      </c>
      <c r="D313" s="9" t="n">
        <f aca="false">B313*Inputs!$C$8</f>
        <v>164.986976656468</v>
      </c>
      <c r="E313" s="9" t="n">
        <f aca="false">C313-D313</f>
        <v>500.315518522715</v>
      </c>
      <c r="F313" s="9" t="n">
        <f aca="false">B313-E313</f>
        <v>27783.1661940147</v>
      </c>
    </row>
    <row r="314" customFormat="false" ht="15" hidden="false" customHeight="false" outlineLevel="0" collapsed="false">
      <c r="A314" s="0" t="n">
        <v>313</v>
      </c>
      <c r="B314" s="9" t="n">
        <f aca="false">F313</f>
        <v>27783.1661940147</v>
      </c>
      <c r="C314" s="9" t="n">
        <f aca="false">-PMT(Inputs!$C$8,Inputs!$C$9,Inputs!$C$5)</f>
        <v>665.302495179183</v>
      </c>
      <c r="D314" s="9" t="n">
        <f aca="false">B314*Inputs!$C$8</f>
        <v>162.068469465086</v>
      </c>
      <c r="E314" s="9" t="n">
        <f aca="false">C314-D314</f>
        <v>503.234025714098</v>
      </c>
      <c r="F314" s="9" t="n">
        <f aca="false">B314-E314</f>
        <v>27279.9321683006</v>
      </c>
    </row>
    <row r="315" customFormat="false" ht="15" hidden="false" customHeight="false" outlineLevel="0" collapsed="false">
      <c r="A315" s="0" t="n">
        <v>314</v>
      </c>
      <c r="B315" s="9" t="n">
        <f aca="false">F314</f>
        <v>27279.9321683006</v>
      </c>
      <c r="C315" s="9" t="n">
        <f aca="false">-PMT(Inputs!$C$8,Inputs!$C$9,Inputs!$C$5)</f>
        <v>665.302495179183</v>
      </c>
      <c r="D315" s="9" t="n">
        <f aca="false">B315*Inputs!$C$8</f>
        <v>159.13293764842</v>
      </c>
      <c r="E315" s="9" t="n">
        <f aca="false">C315-D315</f>
        <v>506.169557530763</v>
      </c>
      <c r="F315" s="9" t="n">
        <f aca="false">B315-E315</f>
        <v>26773.7626107698</v>
      </c>
    </row>
    <row r="316" customFormat="false" ht="15" hidden="false" customHeight="false" outlineLevel="0" collapsed="false">
      <c r="A316" s="0" t="n">
        <v>315</v>
      </c>
      <c r="B316" s="9" t="n">
        <f aca="false">F315</f>
        <v>26773.7626107698</v>
      </c>
      <c r="C316" s="9" t="n">
        <f aca="false">-PMT(Inputs!$C$8,Inputs!$C$9,Inputs!$C$5)</f>
        <v>665.302495179183</v>
      </c>
      <c r="D316" s="9" t="n">
        <f aca="false">B316*Inputs!$C$8</f>
        <v>156.180281896157</v>
      </c>
      <c r="E316" s="9" t="n">
        <f aca="false">C316-D316</f>
        <v>509.122213283026</v>
      </c>
      <c r="F316" s="9" t="n">
        <f aca="false">B316-E316</f>
        <v>26264.6403974868</v>
      </c>
    </row>
    <row r="317" customFormat="false" ht="15" hidden="false" customHeight="false" outlineLevel="0" collapsed="false">
      <c r="A317" s="0" t="n">
        <v>316</v>
      </c>
      <c r="B317" s="9" t="n">
        <f aca="false">F316</f>
        <v>26264.6403974868</v>
      </c>
      <c r="C317" s="9" t="n">
        <f aca="false">-PMT(Inputs!$C$8,Inputs!$C$9,Inputs!$C$5)</f>
        <v>665.302495179183</v>
      </c>
      <c r="D317" s="9" t="n">
        <f aca="false">B317*Inputs!$C$8</f>
        <v>153.210402318673</v>
      </c>
      <c r="E317" s="9" t="n">
        <f aca="false">C317-D317</f>
        <v>512.09209286051</v>
      </c>
      <c r="F317" s="9" t="n">
        <f aca="false">B317-E317</f>
        <v>25752.5483046263</v>
      </c>
    </row>
    <row r="318" customFormat="false" ht="15" hidden="false" customHeight="false" outlineLevel="0" collapsed="false">
      <c r="A318" s="0" t="n">
        <v>317</v>
      </c>
      <c r="B318" s="9" t="n">
        <f aca="false">F317</f>
        <v>25752.5483046263</v>
      </c>
      <c r="C318" s="9" t="n">
        <f aca="false">-PMT(Inputs!$C$8,Inputs!$C$9,Inputs!$C$5)</f>
        <v>665.302495179183</v>
      </c>
      <c r="D318" s="9" t="n">
        <f aca="false">B318*Inputs!$C$8</f>
        <v>150.223198443653</v>
      </c>
      <c r="E318" s="9" t="n">
        <f aca="false">C318-D318</f>
        <v>515.07929673553</v>
      </c>
      <c r="F318" s="9" t="n">
        <f aca="false">B318-E318</f>
        <v>25237.4690078908</v>
      </c>
    </row>
    <row r="319" customFormat="false" ht="15" hidden="false" customHeight="false" outlineLevel="0" collapsed="false">
      <c r="A319" s="0" t="n">
        <v>318</v>
      </c>
      <c r="B319" s="9" t="n">
        <f aca="false">F318</f>
        <v>25237.4690078908</v>
      </c>
      <c r="C319" s="9" t="n">
        <f aca="false">-PMT(Inputs!$C$8,Inputs!$C$9,Inputs!$C$5)</f>
        <v>665.302495179183</v>
      </c>
      <c r="D319" s="9" t="n">
        <f aca="false">B319*Inputs!$C$8</f>
        <v>147.218569212696</v>
      </c>
      <c r="E319" s="9" t="n">
        <f aca="false">C319-D319</f>
        <v>518.083925966487</v>
      </c>
      <c r="F319" s="9" t="n">
        <f aca="false">B319-E319</f>
        <v>24719.3850819243</v>
      </c>
    </row>
    <row r="320" customFormat="false" ht="15" hidden="false" customHeight="false" outlineLevel="0" collapsed="false">
      <c r="A320" s="0" t="n">
        <v>319</v>
      </c>
      <c r="B320" s="9" t="n">
        <f aca="false">F319</f>
        <v>24719.3850819243</v>
      </c>
      <c r="C320" s="9" t="n">
        <f aca="false">-PMT(Inputs!$C$8,Inputs!$C$9,Inputs!$C$5)</f>
        <v>665.302495179183</v>
      </c>
      <c r="D320" s="9" t="n">
        <f aca="false">B320*Inputs!$C$8</f>
        <v>144.196412977892</v>
      </c>
      <c r="E320" s="9" t="n">
        <f aca="false">C320-D320</f>
        <v>521.106082201292</v>
      </c>
      <c r="F320" s="9" t="n">
        <f aca="false">B320-E320</f>
        <v>24198.278999723</v>
      </c>
    </row>
    <row r="321" customFormat="false" ht="15" hidden="false" customHeight="false" outlineLevel="0" collapsed="false">
      <c r="A321" s="0" t="n">
        <v>320</v>
      </c>
      <c r="B321" s="9" t="n">
        <f aca="false">F320</f>
        <v>24198.278999723</v>
      </c>
      <c r="C321" s="9" t="n">
        <f aca="false">-PMT(Inputs!$C$8,Inputs!$C$9,Inputs!$C$5)</f>
        <v>665.302495179183</v>
      </c>
      <c r="D321" s="9" t="n">
        <f aca="false">B321*Inputs!$C$8</f>
        <v>141.156627498384</v>
      </c>
      <c r="E321" s="9" t="n">
        <f aca="false">C321-D321</f>
        <v>524.145867680799</v>
      </c>
      <c r="F321" s="9" t="n">
        <f aca="false">B321-E321</f>
        <v>23674.1331320422</v>
      </c>
    </row>
    <row r="322" customFormat="false" ht="15" hidden="false" customHeight="false" outlineLevel="0" collapsed="false">
      <c r="A322" s="0" t="n">
        <v>321</v>
      </c>
      <c r="B322" s="9" t="n">
        <f aca="false">F321</f>
        <v>23674.1331320422</v>
      </c>
      <c r="C322" s="9" t="n">
        <f aca="false">-PMT(Inputs!$C$8,Inputs!$C$9,Inputs!$C$5)</f>
        <v>665.302495179183</v>
      </c>
      <c r="D322" s="9" t="n">
        <f aca="false">B322*Inputs!$C$8</f>
        <v>138.099109936913</v>
      </c>
      <c r="E322" s="9" t="n">
        <f aca="false">C322-D322</f>
        <v>527.203385242271</v>
      </c>
      <c r="F322" s="9" t="n">
        <f aca="false">B322-E322</f>
        <v>23146.9297467999</v>
      </c>
    </row>
    <row r="323" customFormat="false" ht="15" hidden="false" customHeight="false" outlineLevel="0" collapsed="false">
      <c r="A323" s="0" t="n">
        <v>322</v>
      </c>
      <c r="B323" s="9" t="n">
        <f aca="false">F322</f>
        <v>23146.9297467999</v>
      </c>
      <c r="C323" s="9" t="n">
        <f aca="false">-PMT(Inputs!$C$8,Inputs!$C$9,Inputs!$C$5)</f>
        <v>665.302495179183</v>
      </c>
      <c r="D323" s="9" t="n">
        <f aca="false">B323*Inputs!$C$8</f>
        <v>135.023756856333</v>
      </c>
      <c r="E323" s="9" t="n">
        <f aca="false">C323-D323</f>
        <v>530.27873832285</v>
      </c>
      <c r="F323" s="9" t="n">
        <f aca="false">B323-E323</f>
        <v>22616.6510084771</v>
      </c>
    </row>
    <row r="324" customFormat="false" ht="15" hidden="false" customHeight="false" outlineLevel="0" collapsed="false">
      <c r="A324" s="0" t="n">
        <v>323</v>
      </c>
      <c r="B324" s="9" t="n">
        <f aca="false">F323</f>
        <v>22616.6510084771</v>
      </c>
      <c r="C324" s="9" t="n">
        <f aca="false">-PMT(Inputs!$C$8,Inputs!$C$9,Inputs!$C$5)</f>
        <v>665.302495179183</v>
      </c>
      <c r="D324" s="9" t="n">
        <f aca="false">B324*Inputs!$C$8</f>
        <v>131.930464216116</v>
      </c>
      <c r="E324" s="9" t="n">
        <f aca="false">C324-D324</f>
        <v>533.372030963067</v>
      </c>
      <c r="F324" s="9" t="n">
        <f aca="false">B324-E324</f>
        <v>22083.278977514</v>
      </c>
    </row>
    <row r="325" customFormat="false" ht="15" hidden="false" customHeight="false" outlineLevel="0" collapsed="false">
      <c r="A325" s="0" t="n">
        <v>324</v>
      </c>
      <c r="B325" s="9" t="n">
        <f aca="false">F324</f>
        <v>22083.278977514</v>
      </c>
      <c r="C325" s="9" t="n">
        <f aca="false">-PMT(Inputs!$C$8,Inputs!$C$9,Inputs!$C$5)</f>
        <v>665.302495179183</v>
      </c>
      <c r="D325" s="9" t="n">
        <f aca="false">B325*Inputs!$C$8</f>
        <v>128.819127368832</v>
      </c>
      <c r="E325" s="9" t="n">
        <f aca="false">C325-D325</f>
        <v>536.483367810352</v>
      </c>
      <c r="F325" s="9" t="n">
        <f aca="false">B325-E325</f>
        <v>21546.7956097036</v>
      </c>
    </row>
    <row r="326" customFormat="false" ht="15" hidden="false" customHeight="false" outlineLevel="0" collapsed="false">
      <c r="A326" s="0" t="n">
        <v>325</v>
      </c>
      <c r="B326" s="9" t="n">
        <f aca="false">F325</f>
        <v>21546.7956097036</v>
      </c>
      <c r="C326" s="9" t="n">
        <f aca="false">-PMT(Inputs!$C$8,Inputs!$C$9,Inputs!$C$5)</f>
        <v>665.302495179183</v>
      </c>
      <c r="D326" s="9" t="n">
        <f aca="false">B326*Inputs!$C$8</f>
        <v>125.689641056605</v>
      </c>
      <c r="E326" s="9" t="n">
        <f aca="false">C326-D326</f>
        <v>539.612854122579</v>
      </c>
      <c r="F326" s="9" t="n">
        <f aca="false">B326-E326</f>
        <v>21007.1827555811</v>
      </c>
    </row>
    <row r="327" customFormat="false" ht="15" hidden="false" customHeight="false" outlineLevel="0" collapsed="false">
      <c r="A327" s="0" t="n">
        <v>326</v>
      </c>
      <c r="B327" s="9" t="n">
        <f aca="false">F326</f>
        <v>21007.1827555811</v>
      </c>
      <c r="C327" s="9" t="n">
        <f aca="false">-PMT(Inputs!$C$8,Inputs!$C$9,Inputs!$C$5)</f>
        <v>665.302495179183</v>
      </c>
      <c r="D327" s="9" t="n">
        <f aca="false">B327*Inputs!$C$8</f>
        <v>122.541899407556</v>
      </c>
      <c r="E327" s="9" t="n">
        <f aca="false">C327-D327</f>
        <v>542.760595771627</v>
      </c>
      <c r="F327" s="9" t="n">
        <f aca="false">B327-E327</f>
        <v>20464.4221598094</v>
      </c>
    </row>
    <row r="328" customFormat="false" ht="15" hidden="false" customHeight="false" outlineLevel="0" collapsed="false">
      <c r="A328" s="0" t="n">
        <v>327</v>
      </c>
      <c r="B328" s="9" t="n">
        <f aca="false">F327</f>
        <v>20464.4221598094</v>
      </c>
      <c r="C328" s="9" t="n">
        <f aca="false">-PMT(Inputs!$C$8,Inputs!$C$9,Inputs!$C$5)</f>
        <v>665.302495179183</v>
      </c>
      <c r="D328" s="9" t="n">
        <f aca="false">B328*Inputs!$C$8</f>
        <v>119.375795932222</v>
      </c>
      <c r="E328" s="9" t="n">
        <f aca="false">C328-D328</f>
        <v>545.926699246962</v>
      </c>
      <c r="F328" s="9" t="n">
        <f aca="false">B328-E328</f>
        <v>19918.4954605625</v>
      </c>
    </row>
    <row r="329" customFormat="false" ht="15" hidden="false" customHeight="false" outlineLevel="0" collapsed="false">
      <c r="A329" s="0" t="n">
        <v>328</v>
      </c>
      <c r="B329" s="9" t="n">
        <f aca="false">F328</f>
        <v>19918.4954605625</v>
      </c>
      <c r="C329" s="9" t="n">
        <f aca="false">-PMT(Inputs!$C$8,Inputs!$C$9,Inputs!$C$5)</f>
        <v>665.302495179183</v>
      </c>
      <c r="D329" s="9" t="n">
        <f aca="false">B329*Inputs!$C$8</f>
        <v>116.191223519948</v>
      </c>
      <c r="E329" s="9" t="n">
        <f aca="false">C329-D329</f>
        <v>549.111271659235</v>
      </c>
      <c r="F329" s="9" t="n">
        <f aca="false">B329-E329</f>
        <v>19369.3841889032</v>
      </c>
    </row>
    <row r="330" customFormat="false" ht="15" hidden="false" customHeight="false" outlineLevel="0" collapsed="false">
      <c r="A330" s="0" t="n">
        <v>329</v>
      </c>
      <c r="B330" s="9" t="n">
        <f aca="false">F329</f>
        <v>19369.3841889032</v>
      </c>
      <c r="C330" s="9" t="n">
        <f aca="false">-PMT(Inputs!$C$8,Inputs!$C$9,Inputs!$C$5)</f>
        <v>665.302495179183</v>
      </c>
      <c r="D330" s="9" t="n">
        <f aca="false">B330*Inputs!$C$8</f>
        <v>112.988074435269</v>
      </c>
      <c r="E330" s="9" t="n">
        <f aca="false">C330-D330</f>
        <v>552.314420743914</v>
      </c>
      <c r="F330" s="9" t="n">
        <f aca="false">B330-E330</f>
        <v>18817.0697681593</v>
      </c>
    </row>
    <row r="331" customFormat="false" ht="15" hidden="false" customHeight="false" outlineLevel="0" collapsed="false">
      <c r="A331" s="0" t="n">
        <v>330</v>
      </c>
      <c r="B331" s="9" t="n">
        <f aca="false">F330</f>
        <v>18817.0697681593</v>
      </c>
      <c r="C331" s="9" t="n">
        <f aca="false">-PMT(Inputs!$C$8,Inputs!$C$9,Inputs!$C$5)</f>
        <v>665.302495179183</v>
      </c>
      <c r="D331" s="9" t="n">
        <f aca="false">B331*Inputs!$C$8</f>
        <v>109.766240314263</v>
      </c>
      <c r="E331" s="9" t="n">
        <f aca="false">C331-D331</f>
        <v>555.536254864921</v>
      </c>
      <c r="F331" s="9" t="n">
        <f aca="false">B331-E331</f>
        <v>18261.5335132944</v>
      </c>
    </row>
    <row r="332" customFormat="false" ht="15" hidden="false" customHeight="false" outlineLevel="0" collapsed="false">
      <c r="A332" s="0" t="n">
        <v>331</v>
      </c>
      <c r="B332" s="9" t="n">
        <f aca="false">F331</f>
        <v>18261.5335132944</v>
      </c>
      <c r="C332" s="9" t="n">
        <f aca="false">-PMT(Inputs!$C$8,Inputs!$C$9,Inputs!$C$5)</f>
        <v>665.302495179183</v>
      </c>
      <c r="D332" s="9" t="n">
        <f aca="false">B332*Inputs!$C$8</f>
        <v>106.525612160884</v>
      </c>
      <c r="E332" s="9" t="n">
        <f aca="false">C332-D332</f>
        <v>558.776883018299</v>
      </c>
      <c r="F332" s="9" t="n">
        <f aca="false">B332-E332</f>
        <v>17702.7566302761</v>
      </c>
    </row>
    <row r="333" customFormat="false" ht="15" hidden="false" customHeight="false" outlineLevel="0" collapsed="false">
      <c r="A333" s="0" t="n">
        <v>332</v>
      </c>
      <c r="B333" s="9" t="n">
        <f aca="false">F332</f>
        <v>17702.7566302761</v>
      </c>
      <c r="C333" s="9" t="n">
        <f aca="false">-PMT(Inputs!$C$8,Inputs!$C$9,Inputs!$C$5)</f>
        <v>665.302495179183</v>
      </c>
      <c r="D333" s="9" t="n">
        <f aca="false">B333*Inputs!$C$8</f>
        <v>103.266080343277</v>
      </c>
      <c r="E333" s="9" t="n">
        <f aca="false">C333-D333</f>
        <v>562.036414835906</v>
      </c>
      <c r="F333" s="9" t="n">
        <f aca="false">B333-E333</f>
        <v>17140.7202154402</v>
      </c>
    </row>
    <row r="334" customFormat="false" ht="15" hidden="false" customHeight="false" outlineLevel="0" collapsed="false">
      <c r="A334" s="0" t="n">
        <v>333</v>
      </c>
      <c r="B334" s="9" t="n">
        <f aca="false">F333</f>
        <v>17140.7202154402</v>
      </c>
      <c r="C334" s="9" t="n">
        <f aca="false">-PMT(Inputs!$C$8,Inputs!$C$9,Inputs!$C$5)</f>
        <v>665.302495179183</v>
      </c>
      <c r="D334" s="9" t="n">
        <f aca="false">B334*Inputs!$C$8</f>
        <v>99.9875345900678</v>
      </c>
      <c r="E334" s="9" t="n">
        <f aca="false">C334-D334</f>
        <v>565.314960589115</v>
      </c>
      <c r="F334" s="9" t="n">
        <f aca="false">B334-E334</f>
        <v>16575.4052548511</v>
      </c>
    </row>
    <row r="335" customFormat="false" ht="15" hidden="false" customHeight="false" outlineLevel="0" collapsed="false">
      <c r="A335" s="0" t="n">
        <v>334</v>
      </c>
      <c r="B335" s="9" t="n">
        <f aca="false">F334</f>
        <v>16575.4052548511</v>
      </c>
      <c r="C335" s="9" t="n">
        <f aca="false">-PMT(Inputs!$C$8,Inputs!$C$9,Inputs!$C$5)</f>
        <v>665.302495179183</v>
      </c>
      <c r="D335" s="9" t="n">
        <f aca="false">B335*Inputs!$C$8</f>
        <v>96.6898639866313</v>
      </c>
      <c r="E335" s="9" t="n">
        <f aca="false">C335-D335</f>
        <v>568.612631192552</v>
      </c>
      <c r="F335" s="9" t="n">
        <f aca="false">B335-E335</f>
        <v>16006.7926236585</v>
      </c>
    </row>
    <row r="336" customFormat="false" ht="15" hidden="false" customHeight="false" outlineLevel="0" collapsed="false">
      <c r="A336" s="0" t="n">
        <v>335</v>
      </c>
      <c r="B336" s="9" t="n">
        <f aca="false">F335</f>
        <v>16006.7926236585</v>
      </c>
      <c r="C336" s="9" t="n">
        <f aca="false">-PMT(Inputs!$C$8,Inputs!$C$9,Inputs!$C$5)</f>
        <v>665.302495179183</v>
      </c>
      <c r="D336" s="9" t="n">
        <f aca="false">B336*Inputs!$C$8</f>
        <v>93.3729569713414</v>
      </c>
      <c r="E336" s="9" t="n">
        <f aca="false">C336-D336</f>
        <v>571.929538207842</v>
      </c>
      <c r="F336" s="9" t="n">
        <f aca="false">B336-E336</f>
        <v>15434.8630854507</v>
      </c>
    </row>
    <row r="337" customFormat="false" ht="15" hidden="false" customHeight="false" outlineLevel="0" collapsed="false">
      <c r="A337" s="0" t="n">
        <v>336</v>
      </c>
      <c r="B337" s="9" t="n">
        <f aca="false">F336</f>
        <v>15434.8630854507</v>
      </c>
      <c r="C337" s="9" t="n">
        <f aca="false">-PMT(Inputs!$C$8,Inputs!$C$9,Inputs!$C$5)</f>
        <v>665.302495179183</v>
      </c>
      <c r="D337" s="9" t="n">
        <f aca="false">B337*Inputs!$C$8</f>
        <v>90.0367013317957</v>
      </c>
      <c r="E337" s="9" t="n">
        <f aca="false">C337-D337</f>
        <v>575.265793847388</v>
      </c>
      <c r="F337" s="9" t="n">
        <f aca="false">B337-E337</f>
        <v>14859.5972916033</v>
      </c>
    </row>
    <row r="338" customFormat="false" ht="15" hidden="false" customHeight="false" outlineLevel="0" collapsed="false">
      <c r="A338" s="0" t="n">
        <v>337</v>
      </c>
      <c r="B338" s="9" t="n">
        <f aca="false">F337</f>
        <v>14859.5972916033</v>
      </c>
      <c r="C338" s="9" t="n">
        <f aca="false">-PMT(Inputs!$C$8,Inputs!$C$9,Inputs!$C$5)</f>
        <v>665.302495179183</v>
      </c>
      <c r="D338" s="9" t="n">
        <f aca="false">B338*Inputs!$C$8</f>
        <v>86.6809842010192</v>
      </c>
      <c r="E338" s="9" t="n">
        <f aca="false">C338-D338</f>
        <v>578.621510978164</v>
      </c>
      <c r="F338" s="9" t="n">
        <f aca="false">B338-E338</f>
        <v>14280.9757806251</v>
      </c>
    </row>
    <row r="339" customFormat="false" ht="15" hidden="false" customHeight="false" outlineLevel="0" collapsed="false">
      <c r="A339" s="0" t="n">
        <v>338</v>
      </c>
      <c r="B339" s="9" t="n">
        <f aca="false">F338</f>
        <v>14280.9757806251</v>
      </c>
      <c r="C339" s="9" t="n">
        <f aca="false">-PMT(Inputs!$C$8,Inputs!$C$9,Inputs!$C$5)</f>
        <v>665.302495179183</v>
      </c>
      <c r="D339" s="9" t="n">
        <f aca="false">B339*Inputs!$C$8</f>
        <v>83.3056920536466</v>
      </c>
      <c r="E339" s="9" t="n">
        <f aca="false">C339-D339</f>
        <v>581.996803125537</v>
      </c>
      <c r="F339" s="9" t="n">
        <f aca="false">B339-E339</f>
        <v>13698.9789774996</v>
      </c>
    </row>
    <row r="340" customFormat="false" ht="15" hidden="false" customHeight="false" outlineLevel="0" collapsed="false">
      <c r="A340" s="0" t="n">
        <v>339</v>
      </c>
      <c r="B340" s="9" t="n">
        <f aca="false">F339</f>
        <v>13698.9789774996</v>
      </c>
      <c r="C340" s="9" t="n">
        <f aca="false">-PMT(Inputs!$C$8,Inputs!$C$9,Inputs!$C$5)</f>
        <v>665.302495179183</v>
      </c>
      <c r="D340" s="9" t="n">
        <f aca="false">B340*Inputs!$C$8</f>
        <v>79.910710702081</v>
      </c>
      <c r="E340" s="9" t="n">
        <f aca="false">C340-D340</f>
        <v>585.391784477102</v>
      </c>
      <c r="F340" s="9" t="n">
        <f aca="false">B340-E340</f>
        <v>13113.5871930225</v>
      </c>
    </row>
    <row r="341" customFormat="false" ht="15" hidden="false" customHeight="false" outlineLevel="0" collapsed="false">
      <c r="A341" s="0" t="n">
        <v>340</v>
      </c>
      <c r="B341" s="9" t="n">
        <f aca="false">F340</f>
        <v>13113.5871930225</v>
      </c>
      <c r="C341" s="9" t="n">
        <f aca="false">-PMT(Inputs!$C$8,Inputs!$C$9,Inputs!$C$5)</f>
        <v>665.302495179183</v>
      </c>
      <c r="D341" s="9" t="n">
        <f aca="false">B341*Inputs!$C$8</f>
        <v>76.4959252926312</v>
      </c>
      <c r="E341" s="9" t="n">
        <f aca="false">C341-D341</f>
        <v>588.806569886552</v>
      </c>
      <c r="F341" s="9" t="n">
        <f aca="false">B341-E341</f>
        <v>12524.7806231359</v>
      </c>
    </row>
    <row r="342" customFormat="false" ht="15" hidden="false" customHeight="false" outlineLevel="0" collapsed="false">
      <c r="A342" s="0" t="n">
        <v>341</v>
      </c>
      <c r="B342" s="9" t="n">
        <f aca="false">F341</f>
        <v>12524.7806231359</v>
      </c>
      <c r="C342" s="9" t="n">
        <f aca="false">-PMT(Inputs!$C$8,Inputs!$C$9,Inputs!$C$5)</f>
        <v>665.302495179183</v>
      </c>
      <c r="D342" s="9" t="n">
        <f aca="false">B342*Inputs!$C$8</f>
        <v>73.0612203016264</v>
      </c>
      <c r="E342" s="9" t="n">
        <f aca="false">C342-D342</f>
        <v>592.241274877557</v>
      </c>
      <c r="F342" s="9" t="n">
        <f aca="false">B342-E342</f>
        <v>11932.5393482584</v>
      </c>
    </row>
    <row r="343" customFormat="false" ht="15" hidden="false" customHeight="false" outlineLevel="0" collapsed="false">
      <c r="A343" s="0" t="n">
        <v>342</v>
      </c>
      <c r="B343" s="9" t="n">
        <f aca="false">F342</f>
        <v>11932.5393482584</v>
      </c>
      <c r="C343" s="9" t="n">
        <f aca="false">-PMT(Inputs!$C$8,Inputs!$C$9,Inputs!$C$5)</f>
        <v>665.302495179183</v>
      </c>
      <c r="D343" s="9" t="n">
        <f aca="false">B343*Inputs!$C$8</f>
        <v>69.6064795315073</v>
      </c>
      <c r="E343" s="9" t="n">
        <f aca="false">C343-D343</f>
        <v>595.696015647676</v>
      </c>
      <c r="F343" s="9" t="n">
        <f aca="false">B343-E343</f>
        <v>11336.8433326107</v>
      </c>
    </row>
    <row r="344" customFormat="false" ht="15" hidden="false" customHeight="false" outlineLevel="0" collapsed="false">
      <c r="A344" s="0" t="n">
        <v>343</v>
      </c>
      <c r="B344" s="9" t="n">
        <f aca="false">F343</f>
        <v>11336.8433326107</v>
      </c>
      <c r="C344" s="9" t="n">
        <f aca="false">-PMT(Inputs!$C$8,Inputs!$C$9,Inputs!$C$5)</f>
        <v>665.302495179183</v>
      </c>
      <c r="D344" s="9" t="n">
        <f aca="false">B344*Inputs!$C$8</f>
        <v>66.1315861068958</v>
      </c>
      <c r="E344" s="9" t="n">
        <f aca="false">C344-D344</f>
        <v>599.170909072287</v>
      </c>
      <c r="F344" s="9" t="n">
        <f aca="false">B344-E344</f>
        <v>10737.6724235384</v>
      </c>
    </row>
    <row r="345" customFormat="false" ht="15" hidden="false" customHeight="false" outlineLevel="0" collapsed="false">
      <c r="A345" s="0" t="n">
        <v>344</v>
      </c>
      <c r="B345" s="9" t="n">
        <f aca="false">F344</f>
        <v>10737.6724235384</v>
      </c>
      <c r="C345" s="9" t="n">
        <f aca="false">-PMT(Inputs!$C$8,Inputs!$C$9,Inputs!$C$5)</f>
        <v>665.302495179183</v>
      </c>
      <c r="D345" s="9" t="n">
        <f aca="false">B345*Inputs!$C$8</f>
        <v>62.6364224706408</v>
      </c>
      <c r="E345" s="9" t="n">
        <f aca="false">C345-D345</f>
        <v>602.666072708542</v>
      </c>
      <c r="F345" s="9" t="n">
        <f aca="false">B345-E345</f>
        <v>10135.0063508299</v>
      </c>
    </row>
    <row r="346" customFormat="false" ht="15" hidden="false" customHeight="false" outlineLevel="0" collapsed="false">
      <c r="A346" s="0" t="n">
        <v>345</v>
      </c>
      <c r="B346" s="9" t="n">
        <f aca="false">F345</f>
        <v>10135.0063508299</v>
      </c>
      <c r="C346" s="9" t="n">
        <f aca="false">-PMT(Inputs!$C$8,Inputs!$C$9,Inputs!$C$5)</f>
        <v>665.302495179183</v>
      </c>
      <c r="D346" s="9" t="n">
        <f aca="false">B346*Inputs!$C$8</f>
        <v>59.120870379841</v>
      </c>
      <c r="E346" s="9" t="n">
        <f aca="false">C346-D346</f>
        <v>606.181624799342</v>
      </c>
      <c r="F346" s="9" t="n">
        <f aca="false">B346-E346</f>
        <v>9528.82472603054</v>
      </c>
    </row>
    <row r="347" customFormat="false" ht="15" hidden="false" customHeight="false" outlineLevel="0" collapsed="false">
      <c r="A347" s="0" t="n">
        <v>346</v>
      </c>
      <c r="B347" s="9" t="n">
        <f aca="false">F346</f>
        <v>9528.82472603054</v>
      </c>
      <c r="C347" s="9" t="n">
        <f aca="false">-PMT(Inputs!$C$8,Inputs!$C$9,Inputs!$C$5)</f>
        <v>665.302495179183</v>
      </c>
      <c r="D347" s="9" t="n">
        <f aca="false">B347*Inputs!$C$8</f>
        <v>55.5848109018448</v>
      </c>
      <c r="E347" s="9" t="n">
        <f aca="false">C347-D347</f>
        <v>609.717684277338</v>
      </c>
      <c r="F347" s="9" t="n">
        <f aca="false">B347-E347</f>
        <v>8919.1070417532</v>
      </c>
    </row>
    <row r="348" customFormat="false" ht="15" hidden="false" customHeight="false" outlineLevel="0" collapsed="false">
      <c r="A348" s="0" t="n">
        <v>347</v>
      </c>
      <c r="B348" s="9" t="n">
        <f aca="false">F347</f>
        <v>8919.1070417532</v>
      </c>
      <c r="C348" s="9" t="n">
        <f aca="false">-PMT(Inputs!$C$8,Inputs!$C$9,Inputs!$C$5)</f>
        <v>665.302495179183</v>
      </c>
      <c r="D348" s="9" t="n">
        <f aca="false">B348*Inputs!$C$8</f>
        <v>52.028124410227</v>
      </c>
      <c r="E348" s="9" t="n">
        <f aca="false">C348-D348</f>
        <v>613.274370768956</v>
      </c>
      <c r="F348" s="9" t="n">
        <f aca="false">B348-E348</f>
        <v>8305.83267098424</v>
      </c>
    </row>
    <row r="349" customFormat="false" ht="15" hidden="false" customHeight="false" outlineLevel="0" collapsed="false">
      <c r="A349" s="0" t="n">
        <v>348</v>
      </c>
      <c r="B349" s="9" t="n">
        <f aca="false">F348</f>
        <v>8305.83267098424</v>
      </c>
      <c r="C349" s="9" t="n">
        <f aca="false">-PMT(Inputs!$C$8,Inputs!$C$9,Inputs!$C$5)</f>
        <v>665.302495179183</v>
      </c>
      <c r="D349" s="9" t="n">
        <f aca="false">B349*Inputs!$C$8</f>
        <v>48.4506905807414</v>
      </c>
      <c r="E349" s="9" t="n">
        <f aca="false">C349-D349</f>
        <v>616.851804598442</v>
      </c>
      <c r="F349" s="9" t="n">
        <f aca="false">B349-E349</f>
        <v>7688.9808663858</v>
      </c>
    </row>
    <row r="350" customFormat="false" ht="15" hidden="false" customHeight="false" outlineLevel="0" collapsed="false">
      <c r="A350" s="0" t="n">
        <v>349</v>
      </c>
      <c r="B350" s="9" t="n">
        <f aca="false">F349</f>
        <v>7688.9808663858</v>
      </c>
      <c r="C350" s="9" t="n">
        <f aca="false">-PMT(Inputs!$C$8,Inputs!$C$9,Inputs!$C$5)</f>
        <v>665.302495179183</v>
      </c>
      <c r="D350" s="9" t="n">
        <f aca="false">B350*Inputs!$C$8</f>
        <v>44.8523883872505</v>
      </c>
      <c r="E350" s="9" t="n">
        <f aca="false">C350-D350</f>
        <v>620.450106791933</v>
      </c>
      <c r="F350" s="9" t="n">
        <f aca="false">B350-E350</f>
        <v>7068.53075959387</v>
      </c>
    </row>
    <row r="351" customFormat="false" ht="15" hidden="false" customHeight="false" outlineLevel="0" collapsed="false">
      <c r="A351" s="0" t="n">
        <v>350</v>
      </c>
      <c r="B351" s="9" t="n">
        <f aca="false">F350</f>
        <v>7068.53075959387</v>
      </c>
      <c r="C351" s="9" t="n">
        <f aca="false">-PMT(Inputs!$C$8,Inputs!$C$9,Inputs!$C$5)</f>
        <v>665.302495179183</v>
      </c>
      <c r="D351" s="9" t="n">
        <f aca="false">B351*Inputs!$C$8</f>
        <v>41.2330960976309</v>
      </c>
      <c r="E351" s="9" t="n">
        <f aca="false">C351-D351</f>
        <v>624.069399081552</v>
      </c>
      <c r="F351" s="9" t="n">
        <f aca="false">B351-E351</f>
        <v>6444.46136051232</v>
      </c>
    </row>
    <row r="352" customFormat="false" ht="15" hidden="false" customHeight="false" outlineLevel="0" collapsed="false">
      <c r="A352" s="0" t="n">
        <v>351</v>
      </c>
      <c r="B352" s="9" t="n">
        <f aca="false">F351</f>
        <v>6444.46136051232</v>
      </c>
      <c r="C352" s="9" t="n">
        <f aca="false">-PMT(Inputs!$C$8,Inputs!$C$9,Inputs!$C$5)</f>
        <v>665.302495179183</v>
      </c>
      <c r="D352" s="9" t="n">
        <f aca="false">B352*Inputs!$C$8</f>
        <v>37.5926912696552</v>
      </c>
      <c r="E352" s="9" t="n">
        <f aca="false">C352-D352</f>
        <v>627.709803909528</v>
      </c>
      <c r="F352" s="9" t="n">
        <f aca="false">B352-E352</f>
        <v>5816.75155660279</v>
      </c>
    </row>
    <row r="353" customFormat="false" ht="15" hidden="false" customHeight="false" outlineLevel="0" collapsed="false">
      <c r="A353" s="0" t="n">
        <v>352</v>
      </c>
      <c r="B353" s="9" t="n">
        <f aca="false">F352</f>
        <v>5816.75155660279</v>
      </c>
      <c r="C353" s="9" t="n">
        <f aca="false">-PMT(Inputs!$C$8,Inputs!$C$9,Inputs!$C$5)</f>
        <v>665.302495179183</v>
      </c>
      <c r="D353" s="9" t="n">
        <f aca="false">B353*Inputs!$C$8</f>
        <v>33.9310507468496</v>
      </c>
      <c r="E353" s="9" t="n">
        <f aca="false">C353-D353</f>
        <v>631.371444432334</v>
      </c>
      <c r="F353" s="9" t="n">
        <f aca="false">B353-E353</f>
        <v>5185.38011217046</v>
      </c>
    </row>
    <row r="354" customFormat="false" ht="15" hidden="false" customHeight="false" outlineLevel="0" collapsed="false">
      <c r="A354" s="0" t="n">
        <v>353</v>
      </c>
      <c r="B354" s="9" t="n">
        <f aca="false">F353</f>
        <v>5185.38011217046</v>
      </c>
      <c r="C354" s="9" t="n">
        <f aca="false">-PMT(Inputs!$C$8,Inputs!$C$9,Inputs!$C$5)</f>
        <v>665.302495179183</v>
      </c>
      <c r="D354" s="9" t="n">
        <f aca="false">B354*Inputs!$C$8</f>
        <v>30.2480506543277</v>
      </c>
      <c r="E354" s="9" t="n">
        <f aca="false">C354-D354</f>
        <v>635.054444524856</v>
      </c>
      <c r="F354" s="9" t="n">
        <f aca="false">B354-E354</f>
        <v>4550.3256676456</v>
      </c>
    </row>
    <row r="355" customFormat="false" ht="15" hidden="false" customHeight="false" outlineLevel="0" collapsed="false">
      <c r="A355" s="0" t="n">
        <v>354</v>
      </c>
      <c r="B355" s="9" t="n">
        <f aca="false">F354</f>
        <v>4550.3256676456</v>
      </c>
      <c r="C355" s="9" t="n">
        <f aca="false">-PMT(Inputs!$C$8,Inputs!$C$9,Inputs!$C$5)</f>
        <v>665.302495179183</v>
      </c>
      <c r="D355" s="9" t="n">
        <f aca="false">B355*Inputs!$C$8</f>
        <v>26.5435663945993</v>
      </c>
      <c r="E355" s="9" t="n">
        <f aca="false">C355-D355</f>
        <v>638.758928784584</v>
      </c>
      <c r="F355" s="9" t="n">
        <f aca="false">B355-E355</f>
        <v>3911.56673886102</v>
      </c>
    </row>
    <row r="356" customFormat="false" ht="15" hidden="false" customHeight="false" outlineLevel="0" collapsed="false">
      <c r="A356" s="0" t="n">
        <v>355</v>
      </c>
      <c r="B356" s="9" t="n">
        <f aca="false">F355</f>
        <v>3911.56673886102</v>
      </c>
      <c r="C356" s="9" t="n">
        <f aca="false">-PMT(Inputs!$C$8,Inputs!$C$9,Inputs!$C$5)</f>
        <v>665.302495179183</v>
      </c>
      <c r="D356" s="9" t="n">
        <f aca="false">B356*Inputs!$C$8</f>
        <v>22.8174726433559</v>
      </c>
      <c r="E356" s="9" t="n">
        <f aca="false">C356-D356</f>
        <v>642.485022535827</v>
      </c>
      <c r="F356" s="9" t="n">
        <f aca="false">B356-E356</f>
        <v>3269.08171632519</v>
      </c>
    </row>
    <row r="357" customFormat="false" ht="15" hidden="false" customHeight="false" outlineLevel="0" collapsed="false">
      <c r="A357" s="0" t="n">
        <v>356</v>
      </c>
      <c r="B357" s="9" t="n">
        <f aca="false">F356</f>
        <v>3269.08171632519</v>
      </c>
      <c r="C357" s="9" t="n">
        <f aca="false">-PMT(Inputs!$C$8,Inputs!$C$9,Inputs!$C$5)</f>
        <v>665.302495179183</v>
      </c>
      <c r="D357" s="9" t="n">
        <f aca="false">B357*Inputs!$C$8</f>
        <v>19.0696433452303</v>
      </c>
      <c r="E357" s="9" t="n">
        <f aca="false">C357-D357</f>
        <v>646.232851833953</v>
      </c>
      <c r="F357" s="9" t="n">
        <f aca="false">B357-E357</f>
        <v>2622.84886449124</v>
      </c>
    </row>
    <row r="358" customFormat="false" ht="15" hidden="false" customHeight="false" outlineLevel="0" collapsed="false">
      <c r="A358" s="0" t="n">
        <v>357</v>
      </c>
      <c r="B358" s="9" t="n">
        <f aca="false">F357</f>
        <v>2622.84886449124</v>
      </c>
      <c r="C358" s="9" t="n">
        <f aca="false">-PMT(Inputs!$C$8,Inputs!$C$9,Inputs!$C$5)</f>
        <v>665.302495179183</v>
      </c>
      <c r="D358" s="9" t="n">
        <f aca="false">B358*Inputs!$C$8</f>
        <v>15.2999517095322</v>
      </c>
      <c r="E358" s="9" t="n">
        <f aca="false">C358-D358</f>
        <v>650.002543469651</v>
      </c>
      <c r="F358" s="9" t="n">
        <f aca="false">B358-E358</f>
        <v>1972.84632102158</v>
      </c>
    </row>
    <row r="359" customFormat="false" ht="15" hidden="false" customHeight="false" outlineLevel="0" collapsed="false">
      <c r="A359" s="0" t="n">
        <v>358</v>
      </c>
      <c r="B359" s="9" t="n">
        <f aca="false">F358</f>
        <v>1972.84632102158</v>
      </c>
      <c r="C359" s="9" t="n">
        <f aca="false">-PMT(Inputs!$C$8,Inputs!$C$9,Inputs!$C$5)</f>
        <v>665.302495179183</v>
      </c>
      <c r="D359" s="9" t="n">
        <f aca="false">B359*Inputs!$C$8</f>
        <v>11.5082702059592</v>
      </c>
      <c r="E359" s="9" t="n">
        <f aca="false">C359-D359</f>
        <v>653.794224973224</v>
      </c>
      <c r="F359" s="9" t="n">
        <f aca="false">B359-E359</f>
        <v>1319.05209604836</v>
      </c>
    </row>
    <row r="360" customFormat="false" ht="15" hidden="false" customHeight="false" outlineLevel="0" collapsed="false">
      <c r="A360" s="0" t="n">
        <v>359</v>
      </c>
      <c r="B360" s="9" t="n">
        <f aca="false">F359</f>
        <v>1319.05209604836</v>
      </c>
      <c r="C360" s="9" t="n">
        <f aca="false">-PMT(Inputs!$C$8,Inputs!$C$9,Inputs!$C$5)</f>
        <v>665.302495179183</v>
      </c>
      <c r="D360" s="9" t="n">
        <f aca="false">B360*Inputs!$C$8</f>
        <v>7.6944705602821</v>
      </c>
      <c r="E360" s="9" t="n">
        <f aca="false">C360-D360</f>
        <v>657.608024618901</v>
      </c>
      <c r="F360" s="9" t="n">
        <f aca="false">B360-E360</f>
        <v>661.444071429459</v>
      </c>
    </row>
    <row r="361" customFormat="false" ht="15" hidden="false" customHeight="false" outlineLevel="0" collapsed="false">
      <c r="A361" s="0" t="n">
        <v>360</v>
      </c>
      <c r="B361" s="9" t="n">
        <f aca="false">F360</f>
        <v>661.444071429459</v>
      </c>
      <c r="C361" s="9" t="n">
        <f aca="false">-PMT(Inputs!$C$8,Inputs!$C$9,Inputs!$C$5)</f>
        <v>665.302495179183</v>
      </c>
      <c r="D361" s="9" t="n">
        <f aca="false">B361*Inputs!$C$8</f>
        <v>3.85842375000518</v>
      </c>
      <c r="E361" s="9" t="n">
        <f aca="false">C361-D361</f>
        <v>661.444071429178</v>
      </c>
      <c r="F361" s="9" t="n">
        <f aca="false">B361-E361</f>
        <v>2.80806489172392E-010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</row>
    <row r="2" customFormat="false" ht="15" hidden="false" customHeight="false" outlineLevel="0" collapsed="false">
      <c r="A2" s="0" t="n">
        <v>1</v>
      </c>
      <c r="B2" s="9" t="n">
        <f aca="false">Inputs!$C$5</f>
        <v>100000</v>
      </c>
      <c r="C2" s="9" t="n">
        <f aca="false">E2+D2</f>
        <v>861.111111111111</v>
      </c>
      <c r="D2" s="9" t="n">
        <f aca="false">B2*Inputs!$C$8</f>
        <v>583.333333333333</v>
      </c>
      <c r="E2" s="9" t="n">
        <f aca="false">Inputs!$C$5/Inputs!$C$9</f>
        <v>277.777777777778</v>
      </c>
      <c r="F2" s="9" t="n">
        <f aca="false">B2-E2</f>
        <v>99722.2222222222</v>
      </c>
    </row>
    <row r="3" customFormat="false" ht="15" hidden="false" customHeight="false" outlineLevel="0" collapsed="false">
      <c r="A3" s="0" t="n">
        <v>2</v>
      </c>
      <c r="B3" s="9" t="n">
        <f aca="false">F2</f>
        <v>99722.2222222222</v>
      </c>
      <c r="C3" s="9" t="n">
        <f aca="false">E3+D3</f>
        <v>859.490740740741</v>
      </c>
      <c r="D3" s="9" t="n">
        <f aca="false">B3*Inputs!$C$8</f>
        <v>581.712962962963</v>
      </c>
      <c r="E3" s="9" t="n">
        <f aca="false">Inputs!$C$5/Inputs!$C$9</f>
        <v>277.777777777778</v>
      </c>
      <c r="F3" s="9" t="n">
        <f aca="false">B3-E3</f>
        <v>99444.4444444444</v>
      </c>
    </row>
    <row r="4" customFormat="false" ht="15" hidden="false" customHeight="false" outlineLevel="0" collapsed="false">
      <c r="A4" s="0" t="n">
        <v>3</v>
      </c>
      <c r="B4" s="9" t="n">
        <f aca="false">F3</f>
        <v>99444.4444444444</v>
      </c>
      <c r="C4" s="9" t="n">
        <f aca="false">E4+D4</f>
        <v>857.87037037037</v>
      </c>
      <c r="D4" s="9" t="n">
        <f aca="false">B4*Inputs!$C$8</f>
        <v>580.092592592593</v>
      </c>
      <c r="E4" s="9" t="n">
        <f aca="false">Inputs!$C$5/Inputs!$C$9</f>
        <v>277.777777777778</v>
      </c>
      <c r="F4" s="9" t="n">
        <f aca="false">B4-E4</f>
        <v>99166.6666666667</v>
      </c>
    </row>
    <row r="5" customFormat="false" ht="15" hidden="false" customHeight="false" outlineLevel="0" collapsed="false">
      <c r="A5" s="0" t="n">
        <v>4</v>
      </c>
      <c r="B5" s="9" t="n">
        <f aca="false">F4</f>
        <v>99166.6666666667</v>
      </c>
      <c r="C5" s="9" t="n">
        <f aca="false">E5+D5</f>
        <v>856.25</v>
      </c>
      <c r="D5" s="9" t="n">
        <f aca="false">B5*Inputs!$C$8</f>
        <v>578.472222222222</v>
      </c>
      <c r="E5" s="9" t="n">
        <f aca="false">Inputs!$C$5/Inputs!$C$9</f>
        <v>277.777777777778</v>
      </c>
      <c r="F5" s="9" t="n">
        <f aca="false">B5-E5</f>
        <v>98888.8888888889</v>
      </c>
    </row>
    <row r="6" customFormat="false" ht="15" hidden="false" customHeight="false" outlineLevel="0" collapsed="false">
      <c r="A6" s="0" t="n">
        <v>5</v>
      </c>
      <c r="B6" s="9" t="n">
        <f aca="false">F5</f>
        <v>98888.8888888889</v>
      </c>
      <c r="C6" s="9" t="n">
        <f aca="false">E6+D6</f>
        <v>854.62962962963</v>
      </c>
      <c r="D6" s="9" t="n">
        <f aca="false">B6*Inputs!$C$8</f>
        <v>576.851851851852</v>
      </c>
      <c r="E6" s="9" t="n">
        <f aca="false">Inputs!$C$5/Inputs!$C$9</f>
        <v>277.777777777778</v>
      </c>
      <c r="F6" s="9" t="n">
        <f aca="false">B6-E6</f>
        <v>98611.1111111111</v>
      </c>
    </row>
    <row r="7" customFormat="false" ht="15" hidden="false" customHeight="false" outlineLevel="0" collapsed="false">
      <c r="A7" s="0" t="n">
        <v>6</v>
      </c>
      <c r="B7" s="9" t="n">
        <f aca="false">F6</f>
        <v>98611.1111111111</v>
      </c>
      <c r="C7" s="9" t="n">
        <f aca="false">E7+D7</f>
        <v>853.009259259259</v>
      </c>
      <c r="D7" s="9" t="n">
        <f aca="false">B7*Inputs!$C$8</f>
        <v>575.231481481481</v>
      </c>
      <c r="E7" s="9" t="n">
        <f aca="false">Inputs!$C$5/Inputs!$C$9</f>
        <v>277.777777777778</v>
      </c>
      <c r="F7" s="9" t="n">
        <f aca="false">B7-E7</f>
        <v>98333.3333333333</v>
      </c>
    </row>
    <row r="8" customFormat="false" ht="15" hidden="false" customHeight="false" outlineLevel="0" collapsed="false">
      <c r="A8" s="0" t="n">
        <v>7</v>
      </c>
      <c r="B8" s="9" t="n">
        <f aca="false">F7</f>
        <v>98333.3333333333</v>
      </c>
      <c r="C8" s="9" t="n">
        <f aca="false">E8+D8</f>
        <v>851.388888888889</v>
      </c>
      <c r="D8" s="9" t="n">
        <f aca="false">B8*Inputs!$C$8</f>
        <v>573.611111111111</v>
      </c>
      <c r="E8" s="9" t="n">
        <f aca="false">Inputs!$C$5/Inputs!$C$9</f>
        <v>277.777777777778</v>
      </c>
      <c r="F8" s="9" t="n">
        <f aca="false">B8-E8</f>
        <v>98055.5555555555</v>
      </c>
    </row>
    <row r="9" customFormat="false" ht="15" hidden="false" customHeight="false" outlineLevel="0" collapsed="false">
      <c r="A9" s="0" t="n">
        <v>8</v>
      </c>
      <c r="B9" s="9" t="n">
        <f aca="false">F8</f>
        <v>98055.5555555555</v>
      </c>
      <c r="C9" s="9" t="n">
        <f aca="false">E9+D9</f>
        <v>849.768518518519</v>
      </c>
      <c r="D9" s="9" t="n">
        <f aca="false">B9*Inputs!$C$8</f>
        <v>571.990740740741</v>
      </c>
      <c r="E9" s="9" t="n">
        <f aca="false">Inputs!$C$5/Inputs!$C$9</f>
        <v>277.777777777778</v>
      </c>
      <c r="F9" s="9" t="n">
        <f aca="false">B9-E9</f>
        <v>97777.7777777778</v>
      </c>
    </row>
    <row r="10" customFormat="false" ht="15" hidden="false" customHeight="false" outlineLevel="0" collapsed="false">
      <c r="A10" s="0" t="n">
        <v>9</v>
      </c>
      <c r="B10" s="9" t="n">
        <f aca="false">F9</f>
        <v>97777.7777777778</v>
      </c>
      <c r="C10" s="9" t="n">
        <f aca="false">E10+D10</f>
        <v>848.148148148148</v>
      </c>
      <c r="D10" s="9" t="n">
        <f aca="false">B10*Inputs!$C$8</f>
        <v>570.37037037037</v>
      </c>
      <c r="E10" s="9" t="n">
        <f aca="false">Inputs!$C$5/Inputs!$C$9</f>
        <v>277.777777777778</v>
      </c>
      <c r="F10" s="9" t="n">
        <f aca="false">B10-E10</f>
        <v>97500</v>
      </c>
    </row>
    <row r="11" customFormat="false" ht="15" hidden="false" customHeight="false" outlineLevel="0" collapsed="false">
      <c r="A11" s="0" t="n">
        <v>10</v>
      </c>
      <c r="B11" s="9" t="n">
        <f aca="false">F10</f>
        <v>97500</v>
      </c>
      <c r="C11" s="9" t="n">
        <f aca="false">E11+D11</f>
        <v>846.527777777778</v>
      </c>
      <c r="D11" s="9" t="n">
        <f aca="false">B11*Inputs!$C$8</f>
        <v>568.75</v>
      </c>
      <c r="E11" s="9" t="n">
        <f aca="false">Inputs!$C$5/Inputs!$C$9</f>
        <v>277.777777777778</v>
      </c>
      <c r="F11" s="9" t="n">
        <f aca="false">B11-E11</f>
        <v>97222.2222222222</v>
      </c>
    </row>
    <row r="12" customFormat="false" ht="15" hidden="false" customHeight="false" outlineLevel="0" collapsed="false">
      <c r="A12" s="0" t="n">
        <v>11</v>
      </c>
      <c r="B12" s="9" t="n">
        <f aca="false">F11</f>
        <v>97222.2222222222</v>
      </c>
      <c r="C12" s="9" t="n">
        <f aca="false">E12+D12</f>
        <v>844.907407407407</v>
      </c>
      <c r="D12" s="9" t="n">
        <f aca="false">B12*Inputs!$C$8</f>
        <v>567.129629629629</v>
      </c>
      <c r="E12" s="9" t="n">
        <f aca="false">Inputs!$C$5/Inputs!$C$9</f>
        <v>277.777777777778</v>
      </c>
      <c r="F12" s="9" t="n">
        <f aca="false">B12-E12</f>
        <v>96944.4444444444</v>
      </c>
    </row>
    <row r="13" customFormat="false" ht="15" hidden="false" customHeight="false" outlineLevel="0" collapsed="false">
      <c r="A13" s="0" t="n">
        <v>12</v>
      </c>
      <c r="B13" s="9" t="n">
        <f aca="false">F12</f>
        <v>96944.4444444444</v>
      </c>
      <c r="C13" s="9" t="n">
        <f aca="false">E13+D13</f>
        <v>843.287037037037</v>
      </c>
      <c r="D13" s="9" t="n">
        <f aca="false">B13*Inputs!$C$8</f>
        <v>565.509259259259</v>
      </c>
      <c r="E13" s="9" t="n">
        <f aca="false">Inputs!$C$5/Inputs!$C$9</f>
        <v>277.777777777778</v>
      </c>
      <c r="F13" s="9" t="n">
        <f aca="false">B13-E13</f>
        <v>96666.6666666666</v>
      </c>
    </row>
    <row r="14" customFormat="false" ht="15" hidden="false" customHeight="false" outlineLevel="0" collapsed="false">
      <c r="A14" s="0" t="n">
        <v>13</v>
      </c>
      <c r="B14" s="9" t="n">
        <f aca="false">F13</f>
        <v>96666.6666666666</v>
      </c>
      <c r="C14" s="9" t="n">
        <f aca="false">E14+D14</f>
        <v>841.666666666667</v>
      </c>
      <c r="D14" s="9" t="n">
        <f aca="false">B14*Inputs!$C$8</f>
        <v>563.888888888889</v>
      </c>
      <c r="E14" s="9" t="n">
        <f aca="false">Inputs!$C$5/Inputs!$C$9</f>
        <v>277.777777777778</v>
      </c>
      <c r="F14" s="9" t="n">
        <f aca="false">B14-E14</f>
        <v>96388.8888888889</v>
      </c>
    </row>
    <row r="15" customFormat="false" ht="15" hidden="false" customHeight="false" outlineLevel="0" collapsed="false">
      <c r="A15" s="0" t="n">
        <v>14</v>
      </c>
      <c r="B15" s="9" t="n">
        <f aca="false">F14</f>
        <v>96388.8888888889</v>
      </c>
      <c r="C15" s="9" t="n">
        <f aca="false">E15+D15</f>
        <v>840.046296296296</v>
      </c>
      <c r="D15" s="9" t="n">
        <f aca="false">B15*Inputs!$C$8</f>
        <v>562.268518518518</v>
      </c>
      <c r="E15" s="9" t="n">
        <f aca="false">Inputs!$C$5/Inputs!$C$9</f>
        <v>277.777777777778</v>
      </c>
      <c r="F15" s="9" t="n">
        <f aca="false">B15-E15</f>
        <v>96111.1111111111</v>
      </c>
    </row>
    <row r="16" customFormat="false" ht="15" hidden="false" customHeight="false" outlineLevel="0" collapsed="false">
      <c r="A16" s="0" t="n">
        <v>15</v>
      </c>
      <c r="B16" s="9" t="n">
        <f aca="false">F15</f>
        <v>96111.1111111111</v>
      </c>
      <c r="C16" s="9" t="n">
        <f aca="false">E16+D16</f>
        <v>838.425925925926</v>
      </c>
      <c r="D16" s="9" t="n">
        <f aca="false">B16*Inputs!$C$8</f>
        <v>560.648148148148</v>
      </c>
      <c r="E16" s="9" t="n">
        <f aca="false">Inputs!$C$5/Inputs!$C$9</f>
        <v>277.777777777778</v>
      </c>
      <c r="F16" s="9" t="n">
        <f aca="false">B16-E16</f>
        <v>95833.3333333333</v>
      </c>
    </row>
    <row r="17" customFormat="false" ht="15" hidden="false" customHeight="false" outlineLevel="0" collapsed="false">
      <c r="A17" s="0" t="n">
        <v>16</v>
      </c>
      <c r="B17" s="9" t="n">
        <f aca="false">F16</f>
        <v>95833.3333333333</v>
      </c>
      <c r="C17" s="9" t="n">
        <f aca="false">E17+D17</f>
        <v>836.805555555555</v>
      </c>
      <c r="D17" s="9" t="n">
        <f aca="false">B17*Inputs!$C$8</f>
        <v>559.027777777778</v>
      </c>
      <c r="E17" s="9" t="n">
        <f aca="false">Inputs!$C$5/Inputs!$C$9</f>
        <v>277.777777777778</v>
      </c>
      <c r="F17" s="9" t="n">
        <f aca="false">B17-E17</f>
        <v>95555.5555555555</v>
      </c>
    </row>
    <row r="18" customFormat="false" ht="15" hidden="false" customHeight="false" outlineLevel="0" collapsed="false">
      <c r="A18" s="0" t="n">
        <v>17</v>
      </c>
      <c r="B18" s="9" t="n">
        <f aca="false">F17</f>
        <v>95555.5555555555</v>
      </c>
      <c r="C18" s="9" t="n">
        <f aca="false">E18+D18</f>
        <v>835.185185185185</v>
      </c>
      <c r="D18" s="9" t="n">
        <f aca="false">B18*Inputs!$C$8</f>
        <v>557.407407407407</v>
      </c>
      <c r="E18" s="9" t="n">
        <f aca="false">Inputs!$C$5/Inputs!$C$9</f>
        <v>277.777777777778</v>
      </c>
      <c r="F18" s="9" t="n">
        <f aca="false">B18-E18</f>
        <v>95277.7777777777</v>
      </c>
    </row>
    <row r="19" customFormat="false" ht="15" hidden="false" customHeight="false" outlineLevel="0" collapsed="false">
      <c r="A19" s="0" t="n">
        <v>18</v>
      </c>
      <c r="B19" s="9" t="n">
        <f aca="false">F18</f>
        <v>95277.7777777777</v>
      </c>
      <c r="C19" s="9" t="n">
        <f aca="false">E19+D19</f>
        <v>833.564814814815</v>
      </c>
      <c r="D19" s="9" t="n">
        <f aca="false">B19*Inputs!$C$8</f>
        <v>555.787037037037</v>
      </c>
      <c r="E19" s="9" t="n">
        <f aca="false">Inputs!$C$5/Inputs!$C$9</f>
        <v>277.777777777778</v>
      </c>
      <c r="F19" s="9" t="n">
        <f aca="false">B19-E19</f>
        <v>94999.9999999999</v>
      </c>
    </row>
    <row r="20" customFormat="false" ht="15" hidden="false" customHeight="false" outlineLevel="0" collapsed="false">
      <c r="A20" s="0" t="n">
        <v>19</v>
      </c>
      <c r="B20" s="9" t="n">
        <f aca="false">F19</f>
        <v>94999.9999999999</v>
      </c>
      <c r="C20" s="9" t="n">
        <f aca="false">E20+D20</f>
        <v>831.944444444444</v>
      </c>
      <c r="D20" s="9" t="n">
        <f aca="false">B20*Inputs!$C$8</f>
        <v>554.166666666666</v>
      </c>
      <c r="E20" s="9" t="n">
        <f aca="false">Inputs!$C$5/Inputs!$C$9</f>
        <v>277.777777777778</v>
      </c>
      <c r="F20" s="9" t="n">
        <f aca="false">B20-E20</f>
        <v>94722.2222222222</v>
      </c>
    </row>
    <row r="21" customFormat="false" ht="15" hidden="false" customHeight="false" outlineLevel="0" collapsed="false">
      <c r="A21" s="0" t="n">
        <v>20</v>
      </c>
      <c r="B21" s="9" t="n">
        <f aca="false">F20</f>
        <v>94722.2222222222</v>
      </c>
      <c r="C21" s="9" t="n">
        <f aca="false">E21+D21</f>
        <v>830.324074074074</v>
      </c>
      <c r="D21" s="9" t="n">
        <f aca="false">B21*Inputs!$C$8</f>
        <v>552.546296296296</v>
      </c>
      <c r="E21" s="9" t="n">
        <f aca="false">Inputs!$C$5/Inputs!$C$9</f>
        <v>277.777777777778</v>
      </c>
      <c r="F21" s="9" t="n">
        <f aca="false">B21-E21</f>
        <v>94444.4444444444</v>
      </c>
    </row>
    <row r="22" customFormat="false" ht="15" hidden="false" customHeight="false" outlineLevel="0" collapsed="false">
      <c r="A22" s="0" t="n">
        <v>21</v>
      </c>
      <c r="B22" s="9" t="n">
        <f aca="false">F21</f>
        <v>94444.4444444444</v>
      </c>
      <c r="C22" s="9" t="n">
        <f aca="false">E22+D22</f>
        <v>828.703703703703</v>
      </c>
      <c r="D22" s="9" t="n">
        <f aca="false">B22*Inputs!$C$8</f>
        <v>550.925925925926</v>
      </c>
      <c r="E22" s="9" t="n">
        <f aca="false">Inputs!$C$5/Inputs!$C$9</f>
        <v>277.777777777778</v>
      </c>
      <c r="F22" s="9" t="n">
        <f aca="false">B22-E22</f>
        <v>94166.6666666666</v>
      </c>
    </row>
    <row r="23" customFormat="false" ht="15" hidden="false" customHeight="false" outlineLevel="0" collapsed="false">
      <c r="A23" s="0" t="n">
        <v>22</v>
      </c>
      <c r="B23" s="9" t="n">
        <f aca="false">F22</f>
        <v>94166.6666666666</v>
      </c>
      <c r="C23" s="9" t="n">
        <f aca="false">E23+D23</f>
        <v>827.083333333333</v>
      </c>
      <c r="D23" s="9" t="n">
        <f aca="false">B23*Inputs!$C$8</f>
        <v>549.305555555555</v>
      </c>
      <c r="E23" s="9" t="n">
        <f aca="false">Inputs!$C$5/Inputs!$C$9</f>
        <v>277.777777777778</v>
      </c>
      <c r="F23" s="9" t="n">
        <f aca="false">B23-E23</f>
        <v>93888.8888888888</v>
      </c>
    </row>
    <row r="24" customFormat="false" ht="15" hidden="false" customHeight="false" outlineLevel="0" collapsed="false">
      <c r="A24" s="0" t="n">
        <v>23</v>
      </c>
      <c r="B24" s="9" t="n">
        <f aca="false">F23</f>
        <v>93888.8888888888</v>
      </c>
      <c r="C24" s="9" t="n">
        <f aca="false">E24+D24</f>
        <v>825.462962962963</v>
      </c>
      <c r="D24" s="9" t="n">
        <f aca="false">B24*Inputs!$C$8</f>
        <v>547.685185185185</v>
      </c>
      <c r="E24" s="9" t="n">
        <f aca="false">Inputs!$C$5/Inputs!$C$9</f>
        <v>277.777777777778</v>
      </c>
      <c r="F24" s="9" t="n">
        <f aca="false">B24-E24</f>
        <v>93611.111111111</v>
      </c>
    </row>
    <row r="25" customFormat="false" ht="15" hidden="false" customHeight="false" outlineLevel="0" collapsed="false">
      <c r="A25" s="0" t="n">
        <v>24</v>
      </c>
      <c r="B25" s="9" t="n">
        <f aca="false">F24</f>
        <v>93611.111111111</v>
      </c>
      <c r="C25" s="9" t="n">
        <f aca="false">E25+D25</f>
        <v>823.842592592592</v>
      </c>
      <c r="D25" s="9" t="n">
        <f aca="false">B25*Inputs!$C$8</f>
        <v>546.064814814814</v>
      </c>
      <c r="E25" s="9" t="n">
        <f aca="false">Inputs!$C$5/Inputs!$C$9</f>
        <v>277.777777777778</v>
      </c>
      <c r="F25" s="9" t="n">
        <f aca="false">B25-E25</f>
        <v>93333.3333333333</v>
      </c>
    </row>
    <row r="26" customFormat="false" ht="15" hidden="false" customHeight="false" outlineLevel="0" collapsed="false">
      <c r="A26" s="0" t="n">
        <v>25</v>
      </c>
      <c r="B26" s="9" t="n">
        <f aca="false">F25</f>
        <v>93333.3333333333</v>
      </c>
      <c r="C26" s="9" t="n">
        <f aca="false">E26+D26</f>
        <v>822.222222222222</v>
      </c>
      <c r="D26" s="9" t="n">
        <f aca="false">B26*Inputs!$C$8</f>
        <v>544.444444444444</v>
      </c>
      <c r="E26" s="9" t="n">
        <f aca="false">Inputs!$C$5/Inputs!$C$9</f>
        <v>277.777777777778</v>
      </c>
      <c r="F26" s="9" t="n">
        <f aca="false">B26-E26</f>
        <v>93055.5555555555</v>
      </c>
    </row>
    <row r="27" customFormat="false" ht="15" hidden="false" customHeight="false" outlineLevel="0" collapsed="false">
      <c r="A27" s="0" t="n">
        <v>26</v>
      </c>
      <c r="B27" s="9" t="n">
        <f aca="false">F26</f>
        <v>93055.5555555555</v>
      </c>
      <c r="C27" s="9" t="n">
        <f aca="false">E27+D27</f>
        <v>820.601851851852</v>
      </c>
      <c r="D27" s="9" t="n">
        <f aca="false">B27*Inputs!$C$8</f>
        <v>542.824074074074</v>
      </c>
      <c r="E27" s="9" t="n">
        <f aca="false">Inputs!$C$5/Inputs!$C$9</f>
        <v>277.777777777778</v>
      </c>
      <c r="F27" s="9" t="n">
        <f aca="false">B27-E27</f>
        <v>92777.7777777777</v>
      </c>
    </row>
    <row r="28" customFormat="false" ht="15" hidden="false" customHeight="false" outlineLevel="0" collapsed="false">
      <c r="A28" s="0" t="n">
        <v>27</v>
      </c>
      <c r="B28" s="9" t="n">
        <f aca="false">F27</f>
        <v>92777.7777777777</v>
      </c>
      <c r="C28" s="9" t="n">
        <f aca="false">E28+D28</f>
        <v>818.981481481481</v>
      </c>
      <c r="D28" s="9" t="n">
        <f aca="false">B28*Inputs!$C$8</f>
        <v>541.203703703703</v>
      </c>
      <c r="E28" s="9" t="n">
        <f aca="false">Inputs!$C$5/Inputs!$C$9</f>
        <v>277.777777777778</v>
      </c>
      <c r="F28" s="9" t="n">
        <f aca="false">B28-E28</f>
        <v>92499.9999999999</v>
      </c>
    </row>
    <row r="29" customFormat="false" ht="15" hidden="false" customHeight="false" outlineLevel="0" collapsed="false">
      <c r="A29" s="0" t="n">
        <v>28</v>
      </c>
      <c r="B29" s="9" t="n">
        <f aca="false">F28</f>
        <v>92499.9999999999</v>
      </c>
      <c r="C29" s="9" t="n">
        <f aca="false">E29+D29</f>
        <v>817.361111111111</v>
      </c>
      <c r="D29" s="9" t="n">
        <f aca="false">B29*Inputs!$C$8</f>
        <v>539.583333333333</v>
      </c>
      <c r="E29" s="9" t="n">
        <f aca="false">Inputs!$C$5/Inputs!$C$9</f>
        <v>277.777777777778</v>
      </c>
      <c r="F29" s="9" t="n">
        <f aca="false">B29-E29</f>
        <v>92222.2222222221</v>
      </c>
    </row>
    <row r="30" customFormat="false" ht="15" hidden="false" customHeight="false" outlineLevel="0" collapsed="false">
      <c r="A30" s="0" t="n">
        <v>29</v>
      </c>
      <c r="B30" s="9" t="n">
        <f aca="false">F29</f>
        <v>92222.2222222221</v>
      </c>
      <c r="C30" s="9" t="n">
        <f aca="false">E30+D30</f>
        <v>815.74074074074</v>
      </c>
      <c r="D30" s="9" t="n">
        <f aca="false">B30*Inputs!$C$8</f>
        <v>537.962962962963</v>
      </c>
      <c r="E30" s="9" t="n">
        <f aca="false">Inputs!$C$5/Inputs!$C$9</f>
        <v>277.777777777778</v>
      </c>
      <c r="F30" s="9" t="n">
        <f aca="false">B30-E30</f>
        <v>91944.4444444444</v>
      </c>
    </row>
    <row r="31" customFormat="false" ht="15" hidden="false" customHeight="false" outlineLevel="0" collapsed="false">
      <c r="A31" s="0" t="n">
        <v>30</v>
      </c>
      <c r="B31" s="9" t="n">
        <f aca="false">F30</f>
        <v>91944.4444444444</v>
      </c>
      <c r="C31" s="9" t="n">
        <f aca="false">E31+D31</f>
        <v>814.12037037037</v>
      </c>
      <c r="D31" s="9" t="n">
        <f aca="false">B31*Inputs!$C$8</f>
        <v>536.342592592592</v>
      </c>
      <c r="E31" s="9" t="n">
        <f aca="false">Inputs!$C$5/Inputs!$C$9</f>
        <v>277.777777777778</v>
      </c>
      <c r="F31" s="9" t="n">
        <f aca="false">B31-E31</f>
        <v>91666.6666666666</v>
      </c>
    </row>
    <row r="32" customFormat="false" ht="15" hidden="false" customHeight="false" outlineLevel="0" collapsed="false">
      <c r="A32" s="0" t="n">
        <v>31</v>
      </c>
      <c r="B32" s="9" t="n">
        <f aca="false">F31</f>
        <v>91666.6666666666</v>
      </c>
      <c r="C32" s="9" t="n">
        <f aca="false">E32+D32</f>
        <v>812.5</v>
      </c>
      <c r="D32" s="9" t="n">
        <f aca="false">B32*Inputs!$C$8</f>
        <v>534.722222222222</v>
      </c>
      <c r="E32" s="9" t="n">
        <f aca="false">Inputs!$C$5/Inputs!$C$9</f>
        <v>277.777777777778</v>
      </c>
      <c r="F32" s="9" t="n">
        <f aca="false">B32-E32</f>
        <v>91388.8888888888</v>
      </c>
    </row>
    <row r="33" customFormat="false" ht="15" hidden="false" customHeight="false" outlineLevel="0" collapsed="false">
      <c r="A33" s="0" t="n">
        <v>32</v>
      </c>
      <c r="B33" s="9" t="n">
        <f aca="false">F32</f>
        <v>91388.8888888888</v>
      </c>
      <c r="C33" s="9" t="n">
        <f aca="false">E33+D33</f>
        <v>810.879629629629</v>
      </c>
      <c r="D33" s="9" t="n">
        <f aca="false">B33*Inputs!$C$8</f>
        <v>533.101851851851</v>
      </c>
      <c r="E33" s="9" t="n">
        <f aca="false">Inputs!$C$5/Inputs!$C$9</f>
        <v>277.777777777778</v>
      </c>
      <c r="F33" s="9" t="n">
        <f aca="false">B33-E33</f>
        <v>91111.111111111</v>
      </c>
    </row>
    <row r="34" customFormat="false" ht="15" hidden="false" customHeight="false" outlineLevel="0" collapsed="false">
      <c r="A34" s="0" t="n">
        <v>33</v>
      </c>
      <c r="B34" s="9" t="n">
        <f aca="false">F33</f>
        <v>91111.111111111</v>
      </c>
      <c r="C34" s="9" t="n">
        <f aca="false">E34+D34</f>
        <v>809.259259259259</v>
      </c>
      <c r="D34" s="9" t="n">
        <f aca="false">B34*Inputs!$C$8</f>
        <v>531.481481481481</v>
      </c>
      <c r="E34" s="9" t="n">
        <f aca="false">Inputs!$C$5/Inputs!$C$9</f>
        <v>277.777777777778</v>
      </c>
      <c r="F34" s="9" t="n">
        <f aca="false">B34-E34</f>
        <v>90833.3333333332</v>
      </c>
    </row>
    <row r="35" customFormat="false" ht="15" hidden="false" customHeight="false" outlineLevel="0" collapsed="false">
      <c r="A35" s="0" t="n">
        <v>34</v>
      </c>
      <c r="B35" s="9" t="n">
        <f aca="false">F34</f>
        <v>90833.3333333332</v>
      </c>
      <c r="C35" s="9" t="n">
        <f aca="false">E35+D35</f>
        <v>807.638888888888</v>
      </c>
      <c r="D35" s="9" t="n">
        <f aca="false">B35*Inputs!$C$8</f>
        <v>529.861111111111</v>
      </c>
      <c r="E35" s="9" t="n">
        <f aca="false">Inputs!$C$5/Inputs!$C$9</f>
        <v>277.777777777778</v>
      </c>
      <c r="F35" s="9" t="n">
        <f aca="false">B35-E35</f>
        <v>90555.5555555555</v>
      </c>
    </row>
    <row r="36" customFormat="false" ht="15" hidden="false" customHeight="false" outlineLevel="0" collapsed="false">
      <c r="A36" s="0" t="n">
        <v>35</v>
      </c>
      <c r="B36" s="9" t="n">
        <f aca="false">F35</f>
        <v>90555.5555555555</v>
      </c>
      <c r="C36" s="9" t="n">
        <f aca="false">E36+D36</f>
        <v>806.018518518518</v>
      </c>
      <c r="D36" s="9" t="n">
        <f aca="false">B36*Inputs!$C$8</f>
        <v>528.24074074074</v>
      </c>
      <c r="E36" s="9" t="n">
        <f aca="false">Inputs!$C$5/Inputs!$C$9</f>
        <v>277.777777777778</v>
      </c>
      <c r="F36" s="9" t="n">
        <f aca="false">B36-E36</f>
        <v>90277.7777777777</v>
      </c>
    </row>
    <row r="37" customFormat="false" ht="15" hidden="false" customHeight="false" outlineLevel="0" collapsed="false">
      <c r="A37" s="0" t="n">
        <v>36</v>
      </c>
      <c r="B37" s="9" t="n">
        <f aca="false">F36</f>
        <v>90277.7777777777</v>
      </c>
      <c r="C37" s="9" t="n">
        <f aca="false">E37+D37</f>
        <v>804.398148148148</v>
      </c>
      <c r="D37" s="9" t="n">
        <f aca="false">B37*Inputs!$C$8</f>
        <v>526.62037037037</v>
      </c>
      <c r="E37" s="9" t="n">
        <f aca="false">Inputs!$C$5/Inputs!$C$9</f>
        <v>277.777777777778</v>
      </c>
      <c r="F37" s="9" t="n">
        <f aca="false">B37-E37</f>
        <v>89999.9999999999</v>
      </c>
    </row>
    <row r="38" customFormat="false" ht="15" hidden="false" customHeight="false" outlineLevel="0" collapsed="false">
      <c r="A38" s="0" t="n">
        <v>37</v>
      </c>
      <c r="B38" s="9" t="n">
        <f aca="false">F37</f>
        <v>89999.9999999999</v>
      </c>
      <c r="C38" s="9" t="n">
        <f aca="false">E38+D38</f>
        <v>802.777777777777</v>
      </c>
      <c r="D38" s="9" t="n">
        <f aca="false">B38*Inputs!$C$8</f>
        <v>524.999999999999</v>
      </c>
      <c r="E38" s="9" t="n">
        <f aca="false">Inputs!$C$5/Inputs!$C$9</f>
        <v>277.777777777778</v>
      </c>
      <c r="F38" s="9" t="n">
        <f aca="false">B38-E38</f>
        <v>89722.2222222221</v>
      </c>
    </row>
    <row r="39" customFormat="false" ht="15" hidden="false" customHeight="false" outlineLevel="0" collapsed="false">
      <c r="A39" s="0" t="n">
        <v>38</v>
      </c>
      <c r="B39" s="9" t="n">
        <f aca="false">F38</f>
        <v>89722.2222222221</v>
      </c>
      <c r="C39" s="9" t="n">
        <f aca="false">E39+D39</f>
        <v>801.157407407407</v>
      </c>
      <c r="D39" s="9" t="n">
        <f aca="false">B39*Inputs!$C$8</f>
        <v>523.379629629629</v>
      </c>
      <c r="E39" s="9" t="n">
        <f aca="false">Inputs!$C$5/Inputs!$C$9</f>
        <v>277.777777777778</v>
      </c>
      <c r="F39" s="9" t="n">
        <f aca="false">B39-E39</f>
        <v>89444.4444444443</v>
      </c>
    </row>
    <row r="40" customFormat="false" ht="15" hidden="false" customHeight="false" outlineLevel="0" collapsed="false">
      <c r="A40" s="0" t="n">
        <v>39</v>
      </c>
      <c r="B40" s="9" t="n">
        <f aca="false">F39</f>
        <v>89444.4444444443</v>
      </c>
      <c r="C40" s="9" t="n">
        <f aca="false">E40+D40</f>
        <v>799.537037037036</v>
      </c>
      <c r="D40" s="9" t="n">
        <f aca="false">B40*Inputs!$C$8</f>
        <v>521.759259259259</v>
      </c>
      <c r="E40" s="9" t="n">
        <f aca="false">Inputs!$C$5/Inputs!$C$9</f>
        <v>277.777777777778</v>
      </c>
      <c r="F40" s="9" t="n">
        <f aca="false">B40-E40</f>
        <v>89166.6666666665</v>
      </c>
    </row>
    <row r="41" customFormat="false" ht="15" hidden="false" customHeight="false" outlineLevel="0" collapsed="false">
      <c r="A41" s="0" t="n">
        <v>40</v>
      </c>
      <c r="B41" s="9" t="n">
        <f aca="false">F40</f>
        <v>89166.6666666665</v>
      </c>
      <c r="C41" s="9" t="n">
        <f aca="false">E41+D41</f>
        <v>797.916666666666</v>
      </c>
      <c r="D41" s="9" t="n">
        <f aca="false">B41*Inputs!$C$8</f>
        <v>520.138888888888</v>
      </c>
      <c r="E41" s="9" t="n">
        <f aca="false">Inputs!$C$5/Inputs!$C$9</f>
        <v>277.777777777778</v>
      </c>
      <c r="F41" s="9" t="n">
        <f aca="false">B41-E41</f>
        <v>88888.8888888888</v>
      </c>
    </row>
    <row r="42" customFormat="false" ht="15" hidden="false" customHeight="false" outlineLevel="0" collapsed="false">
      <c r="A42" s="0" t="n">
        <v>41</v>
      </c>
      <c r="B42" s="9" t="n">
        <f aca="false">F41</f>
        <v>88888.8888888888</v>
      </c>
      <c r="C42" s="9" t="n">
        <f aca="false">E42+D42</f>
        <v>796.296296296296</v>
      </c>
      <c r="D42" s="9" t="n">
        <f aca="false">B42*Inputs!$C$8</f>
        <v>518.518518518518</v>
      </c>
      <c r="E42" s="9" t="n">
        <f aca="false">Inputs!$C$5/Inputs!$C$9</f>
        <v>277.777777777778</v>
      </c>
      <c r="F42" s="9" t="n">
        <f aca="false">B42-E42</f>
        <v>88611.111111111</v>
      </c>
    </row>
    <row r="43" customFormat="false" ht="15" hidden="false" customHeight="false" outlineLevel="0" collapsed="false">
      <c r="A43" s="0" t="n">
        <v>42</v>
      </c>
      <c r="B43" s="9" t="n">
        <f aca="false">F42</f>
        <v>88611.111111111</v>
      </c>
      <c r="C43" s="9" t="n">
        <f aca="false">E43+D43</f>
        <v>794.675925925925</v>
      </c>
      <c r="D43" s="9" t="n">
        <f aca="false">B43*Inputs!$C$8</f>
        <v>516.898148148147</v>
      </c>
      <c r="E43" s="9" t="n">
        <f aca="false">Inputs!$C$5/Inputs!$C$9</f>
        <v>277.777777777778</v>
      </c>
      <c r="F43" s="9" t="n">
        <f aca="false">B43-E43</f>
        <v>88333.3333333332</v>
      </c>
    </row>
    <row r="44" customFormat="false" ht="15" hidden="false" customHeight="false" outlineLevel="0" collapsed="false">
      <c r="A44" s="0" t="n">
        <v>43</v>
      </c>
      <c r="B44" s="9" t="n">
        <f aca="false">F43</f>
        <v>88333.3333333332</v>
      </c>
      <c r="C44" s="9" t="n">
        <f aca="false">E44+D44</f>
        <v>793.055555555555</v>
      </c>
      <c r="D44" s="9" t="n">
        <f aca="false">B44*Inputs!$C$8</f>
        <v>515.277777777777</v>
      </c>
      <c r="E44" s="9" t="n">
        <f aca="false">Inputs!$C$5/Inputs!$C$9</f>
        <v>277.777777777778</v>
      </c>
      <c r="F44" s="9" t="n">
        <f aca="false">B44-E44</f>
        <v>88055.5555555554</v>
      </c>
    </row>
    <row r="45" customFormat="false" ht="15" hidden="false" customHeight="false" outlineLevel="0" collapsed="false">
      <c r="A45" s="0" t="n">
        <v>44</v>
      </c>
      <c r="B45" s="9" t="n">
        <f aca="false">F44</f>
        <v>88055.5555555554</v>
      </c>
      <c r="C45" s="9" t="n">
        <f aca="false">E45+D45</f>
        <v>791.435185185184</v>
      </c>
      <c r="D45" s="9" t="n">
        <f aca="false">B45*Inputs!$C$8</f>
        <v>513.657407407407</v>
      </c>
      <c r="E45" s="9" t="n">
        <f aca="false">Inputs!$C$5/Inputs!$C$9</f>
        <v>277.777777777778</v>
      </c>
      <c r="F45" s="9" t="n">
        <f aca="false">B45-E45</f>
        <v>87777.7777777776</v>
      </c>
    </row>
    <row r="46" customFormat="false" ht="15" hidden="false" customHeight="false" outlineLevel="0" collapsed="false">
      <c r="A46" s="0" t="n">
        <v>45</v>
      </c>
      <c r="B46" s="9" t="n">
        <f aca="false">F45</f>
        <v>87777.7777777776</v>
      </c>
      <c r="C46" s="9" t="n">
        <f aca="false">E46+D46</f>
        <v>789.814814814814</v>
      </c>
      <c r="D46" s="9" t="n">
        <f aca="false">B46*Inputs!$C$8</f>
        <v>512.037037037036</v>
      </c>
      <c r="E46" s="9" t="n">
        <f aca="false">Inputs!$C$5/Inputs!$C$9</f>
        <v>277.777777777778</v>
      </c>
      <c r="F46" s="9" t="n">
        <f aca="false">B46-E46</f>
        <v>87499.9999999999</v>
      </c>
    </row>
    <row r="47" customFormat="false" ht="15" hidden="false" customHeight="false" outlineLevel="0" collapsed="false">
      <c r="A47" s="0" t="n">
        <v>46</v>
      </c>
      <c r="B47" s="9" t="n">
        <f aca="false">F46</f>
        <v>87499.9999999999</v>
      </c>
      <c r="C47" s="9" t="n">
        <f aca="false">E47+D47</f>
        <v>788.194444444444</v>
      </c>
      <c r="D47" s="9" t="n">
        <f aca="false">B47*Inputs!$C$8</f>
        <v>510.416666666666</v>
      </c>
      <c r="E47" s="9" t="n">
        <f aca="false">Inputs!$C$5/Inputs!$C$9</f>
        <v>277.777777777778</v>
      </c>
      <c r="F47" s="9" t="n">
        <f aca="false">B47-E47</f>
        <v>87222.2222222221</v>
      </c>
    </row>
    <row r="48" customFormat="false" ht="15" hidden="false" customHeight="false" outlineLevel="0" collapsed="false">
      <c r="A48" s="0" t="n">
        <v>47</v>
      </c>
      <c r="B48" s="9" t="n">
        <f aca="false">F47</f>
        <v>87222.2222222221</v>
      </c>
      <c r="C48" s="9" t="n">
        <f aca="false">E48+D48</f>
        <v>786.574074074073</v>
      </c>
      <c r="D48" s="9" t="n">
        <f aca="false">B48*Inputs!$C$8</f>
        <v>508.796296296295</v>
      </c>
      <c r="E48" s="9" t="n">
        <f aca="false">Inputs!$C$5/Inputs!$C$9</f>
        <v>277.777777777778</v>
      </c>
      <c r="F48" s="9" t="n">
        <f aca="false">B48-E48</f>
        <v>86944.4444444443</v>
      </c>
    </row>
    <row r="49" customFormat="false" ht="15" hidden="false" customHeight="false" outlineLevel="0" collapsed="false">
      <c r="A49" s="0" t="n">
        <v>48</v>
      </c>
      <c r="B49" s="9" t="n">
        <f aca="false">F48</f>
        <v>86944.4444444443</v>
      </c>
      <c r="C49" s="9" t="n">
        <f aca="false">E49+D49</f>
        <v>784.953703703703</v>
      </c>
      <c r="D49" s="9" t="n">
        <f aca="false">B49*Inputs!$C$8</f>
        <v>507.175925925925</v>
      </c>
      <c r="E49" s="9" t="n">
        <f aca="false">Inputs!$C$5/Inputs!$C$9</f>
        <v>277.777777777778</v>
      </c>
      <c r="F49" s="9" t="n">
        <f aca="false">B49-E49</f>
        <v>86666.6666666665</v>
      </c>
    </row>
    <row r="50" customFormat="false" ht="15" hidden="false" customHeight="false" outlineLevel="0" collapsed="false">
      <c r="A50" s="0" t="n">
        <v>49</v>
      </c>
      <c r="B50" s="9" t="n">
        <f aca="false">F49</f>
        <v>86666.6666666665</v>
      </c>
      <c r="C50" s="9" t="n">
        <f aca="false">E50+D50</f>
        <v>783.333333333333</v>
      </c>
      <c r="D50" s="9" t="n">
        <f aca="false">B50*Inputs!$C$8</f>
        <v>505.555555555555</v>
      </c>
      <c r="E50" s="9" t="n">
        <f aca="false">Inputs!$C$5/Inputs!$C$9</f>
        <v>277.777777777778</v>
      </c>
      <c r="F50" s="9" t="n">
        <f aca="false">B50-E50</f>
        <v>86388.8888888887</v>
      </c>
    </row>
    <row r="51" customFormat="false" ht="15" hidden="false" customHeight="false" outlineLevel="0" collapsed="false">
      <c r="A51" s="0" t="n">
        <v>50</v>
      </c>
      <c r="B51" s="9" t="n">
        <f aca="false">F50</f>
        <v>86388.8888888887</v>
      </c>
      <c r="C51" s="9" t="n">
        <f aca="false">E51+D51</f>
        <v>781.712962962962</v>
      </c>
      <c r="D51" s="9" t="n">
        <f aca="false">B51*Inputs!$C$8</f>
        <v>503.935185185184</v>
      </c>
      <c r="E51" s="9" t="n">
        <f aca="false">Inputs!$C$5/Inputs!$C$9</f>
        <v>277.777777777778</v>
      </c>
      <c r="F51" s="9" t="n">
        <f aca="false">B51-E51</f>
        <v>86111.111111111</v>
      </c>
    </row>
    <row r="52" customFormat="false" ht="15" hidden="false" customHeight="false" outlineLevel="0" collapsed="false">
      <c r="A52" s="0" t="n">
        <v>51</v>
      </c>
      <c r="B52" s="9" t="n">
        <f aca="false">F51</f>
        <v>86111.111111111</v>
      </c>
      <c r="C52" s="9" t="n">
        <f aca="false">E52+D52</f>
        <v>780.092592592592</v>
      </c>
      <c r="D52" s="9" t="n">
        <f aca="false">B52*Inputs!$C$8</f>
        <v>502.314814814814</v>
      </c>
      <c r="E52" s="9" t="n">
        <f aca="false">Inputs!$C$5/Inputs!$C$9</f>
        <v>277.777777777778</v>
      </c>
      <c r="F52" s="9" t="n">
        <f aca="false">B52-E52</f>
        <v>85833.3333333332</v>
      </c>
    </row>
    <row r="53" customFormat="false" ht="15" hidden="false" customHeight="false" outlineLevel="0" collapsed="false">
      <c r="A53" s="0" t="n">
        <v>52</v>
      </c>
      <c r="B53" s="9" t="n">
        <f aca="false">F52</f>
        <v>85833.3333333332</v>
      </c>
      <c r="C53" s="9" t="n">
        <f aca="false">E53+D53</f>
        <v>778.472222222221</v>
      </c>
      <c r="D53" s="9" t="n">
        <f aca="false">B53*Inputs!$C$8</f>
        <v>500.694444444444</v>
      </c>
      <c r="E53" s="9" t="n">
        <f aca="false">Inputs!$C$5/Inputs!$C$9</f>
        <v>277.777777777778</v>
      </c>
      <c r="F53" s="9" t="n">
        <f aca="false">B53-E53</f>
        <v>85555.5555555554</v>
      </c>
    </row>
    <row r="54" customFormat="false" ht="15" hidden="false" customHeight="false" outlineLevel="0" collapsed="false">
      <c r="A54" s="0" t="n">
        <v>53</v>
      </c>
      <c r="B54" s="9" t="n">
        <f aca="false">F53</f>
        <v>85555.5555555554</v>
      </c>
      <c r="C54" s="9" t="n">
        <f aca="false">E54+D54</f>
        <v>776.851851851851</v>
      </c>
      <c r="D54" s="9" t="n">
        <f aca="false">B54*Inputs!$C$8</f>
        <v>499.074074074073</v>
      </c>
      <c r="E54" s="9" t="n">
        <f aca="false">Inputs!$C$5/Inputs!$C$9</f>
        <v>277.777777777778</v>
      </c>
      <c r="F54" s="9" t="n">
        <f aca="false">B54-E54</f>
        <v>85277.7777777776</v>
      </c>
    </row>
    <row r="55" customFormat="false" ht="15" hidden="false" customHeight="false" outlineLevel="0" collapsed="false">
      <c r="A55" s="0" t="n">
        <v>54</v>
      </c>
      <c r="B55" s="9" t="n">
        <f aca="false">F54</f>
        <v>85277.7777777776</v>
      </c>
      <c r="C55" s="9" t="n">
        <f aca="false">E55+D55</f>
        <v>775.231481481481</v>
      </c>
      <c r="D55" s="9" t="n">
        <f aca="false">B55*Inputs!$C$8</f>
        <v>497.453703703703</v>
      </c>
      <c r="E55" s="9" t="n">
        <f aca="false">Inputs!$C$5/Inputs!$C$9</f>
        <v>277.777777777778</v>
      </c>
      <c r="F55" s="9" t="n">
        <f aca="false">B55-E55</f>
        <v>84999.9999999998</v>
      </c>
    </row>
    <row r="56" customFormat="false" ht="15" hidden="false" customHeight="false" outlineLevel="0" collapsed="false">
      <c r="A56" s="0" t="n">
        <v>55</v>
      </c>
      <c r="B56" s="9" t="n">
        <f aca="false">F55</f>
        <v>84999.9999999998</v>
      </c>
      <c r="C56" s="9" t="n">
        <f aca="false">E56+D56</f>
        <v>773.61111111111</v>
      </c>
      <c r="D56" s="9" t="n">
        <f aca="false">B56*Inputs!$C$8</f>
        <v>495.833333333332</v>
      </c>
      <c r="E56" s="9" t="n">
        <f aca="false">Inputs!$C$5/Inputs!$C$9</f>
        <v>277.777777777778</v>
      </c>
      <c r="F56" s="9" t="n">
        <f aca="false">B56-E56</f>
        <v>84722.222222222</v>
      </c>
    </row>
    <row r="57" customFormat="false" ht="15" hidden="false" customHeight="false" outlineLevel="0" collapsed="false">
      <c r="A57" s="0" t="n">
        <v>56</v>
      </c>
      <c r="B57" s="9" t="n">
        <f aca="false">F56</f>
        <v>84722.222222222</v>
      </c>
      <c r="C57" s="9" t="n">
        <f aca="false">E57+D57</f>
        <v>771.99074074074</v>
      </c>
      <c r="D57" s="9" t="n">
        <f aca="false">B57*Inputs!$C$8</f>
        <v>494.212962962962</v>
      </c>
      <c r="E57" s="9" t="n">
        <f aca="false">Inputs!$C$5/Inputs!$C$9</f>
        <v>277.777777777778</v>
      </c>
      <c r="F57" s="9" t="n">
        <f aca="false">B57-E57</f>
        <v>84444.4444444443</v>
      </c>
    </row>
    <row r="58" customFormat="false" ht="15" hidden="false" customHeight="false" outlineLevel="0" collapsed="false">
      <c r="A58" s="0" t="n">
        <v>57</v>
      </c>
      <c r="B58" s="9" t="n">
        <f aca="false">F57</f>
        <v>84444.4444444443</v>
      </c>
      <c r="C58" s="9" t="n">
        <f aca="false">E58+D58</f>
        <v>770.370370370369</v>
      </c>
      <c r="D58" s="9" t="n">
        <f aca="false">B58*Inputs!$C$8</f>
        <v>492.592592592592</v>
      </c>
      <c r="E58" s="9" t="n">
        <f aca="false">Inputs!$C$5/Inputs!$C$9</f>
        <v>277.777777777778</v>
      </c>
      <c r="F58" s="9" t="n">
        <f aca="false">B58-E58</f>
        <v>84166.6666666665</v>
      </c>
    </row>
    <row r="59" customFormat="false" ht="15" hidden="false" customHeight="false" outlineLevel="0" collapsed="false">
      <c r="A59" s="0" t="n">
        <v>58</v>
      </c>
      <c r="B59" s="9" t="n">
        <f aca="false">F58</f>
        <v>84166.6666666665</v>
      </c>
      <c r="C59" s="9" t="n">
        <f aca="false">E59+D59</f>
        <v>768.749999999999</v>
      </c>
      <c r="D59" s="9" t="n">
        <f aca="false">B59*Inputs!$C$8</f>
        <v>490.972222222221</v>
      </c>
      <c r="E59" s="9" t="n">
        <f aca="false">Inputs!$C$5/Inputs!$C$9</f>
        <v>277.777777777778</v>
      </c>
      <c r="F59" s="9" t="n">
        <f aca="false">B59-E59</f>
        <v>83888.8888888887</v>
      </c>
    </row>
    <row r="60" customFormat="false" ht="15" hidden="false" customHeight="false" outlineLevel="0" collapsed="false">
      <c r="A60" s="0" t="n">
        <v>59</v>
      </c>
      <c r="B60" s="9" t="n">
        <f aca="false">F59</f>
        <v>83888.8888888887</v>
      </c>
      <c r="C60" s="9" t="n">
        <f aca="false">E60+D60</f>
        <v>767.129629629629</v>
      </c>
      <c r="D60" s="9" t="n">
        <f aca="false">B60*Inputs!$C$8</f>
        <v>489.351851851851</v>
      </c>
      <c r="E60" s="9" t="n">
        <f aca="false">Inputs!$C$5/Inputs!$C$9</f>
        <v>277.777777777778</v>
      </c>
      <c r="F60" s="9" t="n">
        <f aca="false">B60-E60</f>
        <v>83611.1111111109</v>
      </c>
    </row>
    <row r="61" customFormat="false" ht="15" hidden="false" customHeight="false" outlineLevel="0" collapsed="false">
      <c r="A61" s="0" t="n">
        <v>60</v>
      </c>
      <c r="B61" s="9" t="n">
        <f aca="false">F60</f>
        <v>83611.1111111109</v>
      </c>
      <c r="C61" s="9" t="n">
        <f aca="false">E61+D61</f>
        <v>765.509259259258</v>
      </c>
      <c r="D61" s="9" t="n">
        <f aca="false">B61*Inputs!$C$8</f>
        <v>487.73148148148</v>
      </c>
      <c r="E61" s="9" t="n">
        <f aca="false">Inputs!$C$5/Inputs!$C$9</f>
        <v>277.777777777778</v>
      </c>
      <c r="F61" s="9" t="n">
        <f aca="false">B61-E61</f>
        <v>83333.3333333331</v>
      </c>
    </row>
    <row r="62" customFormat="false" ht="15" hidden="false" customHeight="false" outlineLevel="0" collapsed="false">
      <c r="A62" s="0" t="n">
        <v>61</v>
      </c>
      <c r="B62" s="9" t="n">
        <f aca="false">F61</f>
        <v>83333.3333333331</v>
      </c>
      <c r="C62" s="9" t="n">
        <f aca="false">E62+D62</f>
        <v>763.888888888888</v>
      </c>
      <c r="D62" s="9" t="n">
        <f aca="false">B62*Inputs!$C$8</f>
        <v>486.11111111111</v>
      </c>
      <c r="E62" s="9" t="n">
        <f aca="false">Inputs!$C$5/Inputs!$C$9</f>
        <v>277.777777777778</v>
      </c>
      <c r="F62" s="9" t="n">
        <f aca="false">B62-E62</f>
        <v>83055.5555555554</v>
      </c>
    </row>
    <row r="63" customFormat="false" ht="15" hidden="false" customHeight="false" outlineLevel="0" collapsed="false">
      <c r="A63" s="0" t="n">
        <v>62</v>
      </c>
      <c r="B63" s="9" t="n">
        <f aca="false">F62</f>
        <v>83055.5555555554</v>
      </c>
      <c r="C63" s="9" t="n">
        <f aca="false">E63+D63</f>
        <v>762.268518518517</v>
      </c>
      <c r="D63" s="9" t="n">
        <f aca="false">B63*Inputs!$C$8</f>
        <v>484.49074074074</v>
      </c>
      <c r="E63" s="9" t="n">
        <f aca="false">Inputs!$C$5/Inputs!$C$9</f>
        <v>277.777777777778</v>
      </c>
      <c r="F63" s="9" t="n">
        <f aca="false">B63-E63</f>
        <v>82777.7777777776</v>
      </c>
    </row>
    <row r="64" customFormat="false" ht="15" hidden="false" customHeight="false" outlineLevel="0" collapsed="false">
      <c r="A64" s="0" t="n">
        <v>63</v>
      </c>
      <c r="B64" s="9" t="n">
        <f aca="false">F63</f>
        <v>82777.7777777776</v>
      </c>
      <c r="C64" s="9" t="n">
        <f aca="false">E64+D64</f>
        <v>760.648148148147</v>
      </c>
      <c r="D64" s="9" t="n">
        <f aca="false">B64*Inputs!$C$8</f>
        <v>482.870370370369</v>
      </c>
      <c r="E64" s="9" t="n">
        <f aca="false">Inputs!$C$5/Inputs!$C$9</f>
        <v>277.777777777778</v>
      </c>
      <c r="F64" s="9" t="n">
        <f aca="false">B64-E64</f>
        <v>82499.9999999998</v>
      </c>
    </row>
    <row r="65" customFormat="false" ht="15" hidden="false" customHeight="false" outlineLevel="0" collapsed="false">
      <c r="A65" s="0" t="n">
        <v>64</v>
      </c>
      <c r="B65" s="9" t="n">
        <f aca="false">F64</f>
        <v>82499.9999999998</v>
      </c>
      <c r="C65" s="9" t="n">
        <f aca="false">E65+D65</f>
        <v>759.027777777777</v>
      </c>
      <c r="D65" s="9" t="n">
        <f aca="false">B65*Inputs!$C$8</f>
        <v>481.249999999999</v>
      </c>
      <c r="E65" s="9" t="n">
        <f aca="false">Inputs!$C$5/Inputs!$C$9</f>
        <v>277.777777777778</v>
      </c>
      <c r="F65" s="9" t="n">
        <f aca="false">B65-E65</f>
        <v>82222.222222222</v>
      </c>
    </row>
    <row r="66" customFormat="false" ht="15" hidden="false" customHeight="false" outlineLevel="0" collapsed="false">
      <c r="A66" s="0" t="n">
        <v>65</v>
      </c>
      <c r="B66" s="9" t="n">
        <f aca="false">F65</f>
        <v>82222.222222222</v>
      </c>
      <c r="C66" s="9" t="n">
        <f aca="false">E66+D66</f>
        <v>757.407407407406</v>
      </c>
      <c r="D66" s="9" t="n">
        <f aca="false">B66*Inputs!$C$8</f>
        <v>479.629629629628</v>
      </c>
      <c r="E66" s="9" t="n">
        <f aca="false">Inputs!$C$5/Inputs!$C$9</f>
        <v>277.777777777778</v>
      </c>
      <c r="F66" s="9" t="n">
        <f aca="false">B66-E66</f>
        <v>81944.4444444442</v>
      </c>
    </row>
    <row r="67" customFormat="false" ht="15" hidden="false" customHeight="false" outlineLevel="0" collapsed="false">
      <c r="A67" s="0" t="n">
        <v>66</v>
      </c>
      <c r="B67" s="9" t="n">
        <f aca="false">F66</f>
        <v>81944.4444444442</v>
      </c>
      <c r="C67" s="9" t="n">
        <f aca="false">E67+D67</f>
        <v>755.787037037036</v>
      </c>
      <c r="D67" s="9" t="n">
        <f aca="false">B67*Inputs!$C$8</f>
        <v>478.009259259258</v>
      </c>
      <c r="E67" s="9" t="n">
        <f aca="false">Inputs!$C$5/Inputs!$C$9</f>
        <v>277.777777777778</v>
      </c>
      <c r="F67" s="9" t="n">
        <f aca="false">B67-E67</f>
        <v>81666.6666666665</v>
      </c>
    </row>
    <row r="68" customFormat="false" ht="15" hidden="false" customHeight="false" outlineLevel="0" collapsed="false">
      <c r="A68" s="0" t="n">
        <v>67</v>
      </c>
      <c r="B68" s="9" t="n">
        <f aca="false">F67</f>
        <v>81666.6666666665</v>
      </c>
      <c r="C68" s="9" t="n">
        <f aca="false">E68+D68</f>
        <v>754.166666666665</v>
      </c>
      <c r="D68" s="9" t="n">
        <f aca="false">B68*Inputs!$C$8</f>
        <v>476.388888888888</v>
      </c>
      <c r="E68" s="9" t="n">
        <f aca="false">Inputs!$C$5/Inputs!$C$9</f>
        <v>277.777777777778</v>
      </c>
      <c r="F68" s="9" t="n">
        <f aca="false">B68-E68</f>
        <v>81388.8888888887</v>
      </c>
    </row>
    <row r="69" customFormat="false" ht="15" hidden="false" customHeight="false" outlineLevel="0" collapsed="false">
      <c r="A69" s="0" t="n">
        <v>68</v>
      </c>
      <c r="B69" s="9" t="n">
        <f aca="false">F68</f>
        <v>81388.8888888887</v>
      </c>
      <c r="C69" s="9" t="n">
        <f aca="false">E69+D69</f>
        <v>752.546296296295</v>
      </c>
      <c r="D69" s="9" t="n">
        <f aca="false">B69*Inputs!$C$8</f>
        <v>474.768518518517</v>
      </c>
      <c r="E69" s="9" t="n">
        <f aca="false">Inputs!$C$5/Inputs!$C$9</f>
        <v>277.777777777778</v>
      </c>
      <c r="F69" s="9" t="n">
        <f aca="false">B69-E69</f>
        <v>81111.1111111109</v>
      </c>
    </row>
    <row r="70" customFormat="false" ht="15" hidden="false" customHeight="false" outlineLevel="0" collapsed="false">
      <c r="A70" s="0" t="n">
        <v>69</v>
      </c>
      <c r="B70" s="9" t="n">
        <f aca="false">F69</f>
        <v>81111.1111111109</v>
      </c>
      <c r="C70" s="9" t="n">
        <f aca="false">E70+D70</f>
        <v>750.925925925925</v>
      </c>
      <c r="D70" s="9" t="n">
        <f aca="false">B70*Inputs!$C$8</f>
        <v>473.148148148147</v>
      </c>
      <c r="E70" s="9" t="n">
        <f aca="false">Inputs!$C$5/Inputs!$C$9</f>
        <v>277.777777777778</v>
      </c>
      <c r="F70" s="9" t="n">
        <f aca="false">B70-E70</f>
        <v>80833.3333333331</v>
      </c>
    </row>
    <row r="71" customFormat="false" ht="15" hidden="false" customHeight="false" outlineLevel="0" collapsed="false">
      <c r="A71" s="0" t="n">
        <v>70</v>
      </c>
      <c r="B71" s="9" t="n">
        <f aca="false">F70</f>
        <v>80833.3333333331</v>
      </c>
      <c r="C71" s="9" t="n">
        <f aca="false">E71+D71</f>
        <v>749.305555555554</v>
      </c>
      <c r="D71" s="9" t="n">
        <f aca="false">B71*Inputs!$C$8</f>
        <v>471.527777777777</v>
      </c>
      <c r="E71" s="9" t="n">
        <f aca="false">Inputs!$C$5/Inputs!$C$9</f>
        <v>277.777777777778</v>
      </c>
      <c r="F71" s="9" t="n">
        <f aca="false">B71-E71</f>
        <v>80555.5555555553</v>
      </c>
    </row>
    <row r="72" customFormat="false" ht="15" hidden="false" customHeight="false" outlineLevel="0" collapsed="false">
      <c r="A72" s="0" t="n">
        <v>71</v>
      </c>
      <c r="B72" s="9" t="n">
        <f aca="false">F71</f>
        <v>80555.5555555553</v>
      </c>
      <c r="C72" s="9" t="n">
        <f aca="false">E72+D72</f>
        <v>747.685185185184</v>
      </c>
      <c r="D72" s="9" t="n">
        <f aca="false">B72*Inputs!$C$8</f>
        <v>469.907407407406</v>
      </c>
      <c r="E72" s="9" t="n">
        <f aca="false">Inputs!$C$5/Inputs!$C$9</f>
        <v>277.777777777778</v>
      </c>
      <c r="F72" s="9" t="n">
        <f aca="false">B72-E72</f>
        <v>80277.7777777776</v>
      </c>
    </row>
    <row r="73" customFormat="false" ht="15" hidden="false" customHeight="false" outlineLevel="0" collapsed="false">
      <c r="A73" s="0" t="n">
        <v>72</v>
      </c>
      <c r="B73" s="9" t="n">
        <f aca="false">F72</f>
        <v>80277.7777777776</v>
      </c>
      <c r="C73" s="9" t="n">
        <f aca="false">E73+D73</f>
        <v>746.064814814813</v>
      </c>
      <c r="D73" s="9" t="n">
        <f aca="false">B73*Inputs!$C$8</f>
        <v>468.287037037036</v>
      </c>
      <c r="E73" s="9" t="n">
        <f aca="false">Inputs!$C$5/Inputs!$C$9</f>
        <v>277.777777777778</v>
      </c>
      <c r="F73" s="9" t="n">
        <f aca="false">B73-E73</f>
        <v>79999.9999999998</v>
      </c>
    </row>
    <row r="74" customFormat="false" ht="15" hidden="false" customHeight="false" outlineLevel="0" collapsed="false">
      <c r="A74" s="0" t="n">
        <v>73</v>
      </c>
      <c r="B74" s="9" t="n">
        <f aca="false">F73</f>
        <v>79999.9999999998</v>
      </c>
      <c r="C74" s="9" t="n">
        <f aca="false">E74+D74</f>
        <v>744.444444444443</v>
      </c>
      <c r="D74" s="9" t="n">
        <f aca="false">B74*Inputs!$C$8</f>
        <v>466.666666666665</v>
      </c>
      <c r="E74" s="9" t="n">
        <f aca="false">Inputs!$C$5/Inputs!$C$9</f>
        <v>277.777777777778</v>
      </c>
      <c r="F74" s="9" t="n">
        <f aca="false">B74-E74</f>
        <v>79722.222222222</v>
      </c>
    </row>
    <row r="75" customFormat="false" ht="15" hidden="false" customHeight="false" outlineLevel="0" collapsed="false">
      <c r="A75" s="0" t="n">
        <v>74</v>
      </c>
      <c r="B75" s="9" t="n">
        <f aca="false">F74</f>
        <v>79722.222222222</v>
      </c>
      <c r="C75" s="9" t="n">
        <f aca="false">E75+D75</f>
        <v>742.824074074073</v>
      </c>
      <c r="D75" s="9" t="n">
        <f aca="false">B75*Inputs!$C$8</f>
        <v>465.046296296295</v>
      </c>
      <c r="E75" s="9" t="n">
        <f aca="false">Inputs!$C$5/Inputs!$C$9</f>
        <v>277.777777777778</v>
      </c>
      <c r="F75" s="9" t="n">
        <f aca="false">B75-E75</f>
        <v>79444.4444444442</v>
      </c>
    </row>
    <row r="76" customFormat="false" ht="15" hidden="false" customHeight="false" outlineLevel="0" collapsed="false">
      <c r="A76" s="0" t="n">
        <v>75</v>
      </c>
      <c r="B76" s="9" t="n">
        <f aca="false">F75</f>
        <v>79444.4444444442</v>
      </c>
      <c r="C76" s="9" t="n">
        <f aca="false">E76+D76</f>
        <v>741.203703703702</v>
      </c>
      <c r="D76" s="9" t="n">
        <f aca="false">B76*Inputs!$C$8</f>
        <v>463.425925925925</v>
      </c>
      <c r="E76" s="9" t="n">
        <f aca="false">Inputs!$C$5/Inputs!$C$9</f>
        <v>277.777777777778</v>
      </c>
      <c r="F76" s="9" t="n">
        <f aca="false">B76-E76</f>
        <v>79166.6666666664</v>
      </c>
    </row>
    <row r="77" customFormat="false" ht="15" hidden="false" customHeight="false" outlineLevel="0" collapsed="false">
      <c r="A77" s="0" t="n">
        <v>76</v>
      </c>
      <c r="B77" s="9" t="n">
        <f aca="false">F76</f>
        <v>79166.6666666664</v>
      </c>
      <c r="C77" s="9" t="n">
        <f aca="false">E77+D77</f>
        <v>739.583333333332</v>
      </c>
      <c r="D77" s="9" t="n">
        <f aca="false">B77*Inputs!$C$8</f>
        <v>461.805555555554</v>
      </c>
      <c r="E77" s="9" t="n">
        <f aca="false">Inputs!$C$5/Inputs!$C$9</f>
        <v>277.777777777778</v>
      </c>
      <c r="F77" s="9" t="n">
        <f aca="false">B77-E77</f>
        <v>78888.8888888886</v>
      </c>
    </row>
    <row r="78" customFormat="false" ht="15" hidden="false" customHeight="false" outlineLevel="0" collapsed="false">
      <c r="A78" s="0" t="n">
        <v>77</v>
      </c>
      <c r="B78" s="9" t="n">
        <f aca="false">F77</f>
        <v>78888.8888888886</v>
      </c>
      <c r="C78" s="9" t="n">
        <f aca="false">E78+D78</f>
        <v>737.962962962962</v>
      </c>
      <c r="D78" s="9" t="n">
        <f aca="false">B78*Inputs!$C$8</f>
        <v>460.185185185184</v>
      </c>
      <c r="E78" s="9" t="n">
        <f aca="false">Inputs!$C$5/Inputs!$C$9</f>
        <v>277.777777777778</v>
      </c>
      <c r="F78" s="9" t="n">
        <f aca="false">B78-E78</f>
        <v>78611.1111111109</v>
      </c>
    </row>
    <row r="79" customFormat="false" ht="15" hidden="false" customHeight="false" outlineLevel="0" collapsed="false">
      <c r="A79" s="0" t="n">
        <v>78</v>
      </c>
      <c r="B79" s="9" t="n">
        <f aca="false">F78</f>
        <v>78611.1111111109</v>
      </c>
      <c r="C79" s="9" t="n">
        <f aca="false">E79+D79</f>
        <v>736.342592592591</v>
      </c>
      <c r="D79" s="9" t="n">
        <f aca="false">B79*Inputs!$C$8</f>
        <v>458.564814814813</v>
      </c>
      <c r="E79" s="9" t="n">
        <f aca="false">Inputs!$C$5/Inputs!$C$9</f>
        <v>277.777777777778</v>
      </c>
      <c r="F79" s="9" t="n">
        <f aca="false">B79-E79</f>
        <v>78333.3333333331</v>
      </c>
    </row>
    <row r="80" customFormat="false" ht="15" hidden="false" customHeight="false" outlineLevel="0" collapsed="false">
      <c r="A80" s="0" t="n">
        <v>79</v>
      </c>
      <c r="B80" s="9" t="n">
        <f aca="false">F79</f>
        <v>78333.3333333331</v>
      </c>
      <c r="C80" s="9" t="n">
        <f aca="false">E80+D80</f>
        <v>734.722222222221</v>
      </c>
      <c r="D80" s="9" t="n">
        <f aca="false">B80*Inputs!$C$8</f>
        <v>456.944444444443</v>
      </c>
      <c r="E80" s="9" t="n">
        <f aca="false">Inputs!$C$5/Inputs!$C$9</f>
        <v>277.777777777778</v>
      </c>
      <c r="F80" s="9" t="n">
        <f aca="false">B80-E80</f>
        <v>78055.5555555553</v>
      </c>
    </row>
    <row r="81" customFormat="false" ht="15" hidden="false" customHeight="false" outlineLevel="0" collapsed="false">
      <c r="A81" s="0" t="n">
        <v>80</v>
      </c>
      <c r="B81" s="9" t="n">
        <f aca="false">F80</f>
        <v>78055.5555555553</v>
      </c>
      <c r="C81" s="9" t="n">
        <f aca="false">E81+D81</f>
        <v>733.10185185185</v>
      </c>
      <c r="D81" s="9" t="n">
        <f aca="false">B81*Inputs!$C$8</f>
        <v>455.324074074073</v>
      </c>
      <c r="E81" s="9" t="n">
        <f aca="false">Inputs!$C$5/Inputs!$C$9</f>
        <v>277.777777777778</v>
      </c>
      <c r="F81" s="9" t="n">
        <f aca="false">B81-E81</f>
        <v>77777.7777777775</v>
      </c>
    </row>
    <row r="82" customFormat="false" ht="15" hidden="false" customHeight="false" outlineLevel="0" collapsed="false">
      <c r="A82" s="0" t="n">
        <v>81</v>
      </c>
      <c r="B82" s="9" t="n">
        <f aca="false">F81</f>
        <v>77777.7777777775</v>
      </c>
      <c r="C82" s="9" t="n">
        <f aca="false">E82+D82</f>
        <v>731.48148148148</v>
      </c>
      <c r="D82" s="9" t="n">
        <f aca="false">B82*Inputs!$C$8</f>
        <v>453.703703703702</v>
      </c>
      <c r="E82" s="9" t="n">
        <f aca="false">Inputs!$C$5/Inputs!$C$9</f>
        <v>277.777777777778</v>
      </c>
      <c r="F82" s="9" t="n">
        <f aca="false">B82-E82</f>
        <v>77499.9999999997</v>
      </c>
    </row>
    <row r="83" customFormat="false" ht="15" hidden="false" customHeight="false" outlineLevel="0" collapsed="false">
      <c r="A83" s="0" t="n">
        <v>82</v>
      </c>
      <c r="B83" s="9" t="n">
        <f aca="false">F82</f>
        <v>77499.9999999997</v>
      </c>
      <c r="C83" s="9" t="n">
        <f aca="false">E83+D83</f>
        <v>729.86111111111</v>
      </c>
      <c r="D83" s="9" t="n">
        <f aca="false">B83*Inputs!$C$8</f>
        <v>452.083333333332</v>
      </c>
      <c r="E83" s="9" t="n">
        <f aca="false">Inputs!$C$5/Inputs!$C$9</f>
        <v>277.777777777778</v>
      </c>
      <c r="F83" s="9" t="n">
        <f aca="false">B83-E83</f>
        <v>77222.222222222</v>
      </c>
    </row>
    <row r="84" customFormat="false" ht="15" hidden="false" customHeight="false" outlineLevel="0" collapsed="false">
      <c r="A84" s="0" t="n">
        <v>83</v>
      </c>
      <c r="B84" s="9" t="n">
        <f aca="false">F83</f>
        <v>77222.222222222</v>
      </c>
      <c r="C84" s="9" t="n">
        <f aca="false">E84+D84</f>
        <v>728.240740740739</v>
      </c>
      <c r="D84" s="9" t="n">
        <f aca="false">B84*Inputs!$C$8</f>
        <v>450.462962962961</v>
      </c>
      <c r="E84" s="9" t="n">
        <f aca="false">Inputs!$C$5/Inputs!$C$9</f>
        <v>277.777777777778</v>
      </c>
      <c r="F84" s="9" t="n">
        <f aca="false">B84-E84</f>
        <v>76944.4444444442</v>
      </c>
    </row>
    <row r="85" customFormat="false" ht="15" hidden="false" customHeight="false" outlineLevel="0" collapsed="false">
      <c r="A85" s="0" t="n">
        <v>84</v>
      </c>
      <c r="B85" s="9" t="n">
        <f aca="false">F84</f>
        <v>76944.4444444442</v>
      </c>
      <c r="C85" s="9" t="n">
        <f aca="false">E85+D85</f>
        <v>726.620370370369</v>
      </c>
      <c r="D85" s="9" t="n">
        <f aca="false">B85*Inputs!$C$8</f>
        <v>448.842592592591</v>
      </c>
      <c r="E85" s="9" t="n">
        <f aca="false">Inputs!$C$5/Inputs!$C$9</f>
        <v>277.777777777778</v>
      </c>
      <c r="F85" s="9" t="n">
        <f aca="false">B85-E85</f>
        <v>76666.6666666664</v>
      </c>
    </row>
    <row r="86" customFormat="false" ht="15" hidden="false" customHeight="false" outlineLevel="0" collapsed="false">
      <c r="A86" s="0" t="n">
        <v>85</v>
      </c>
      <c r="B86" s="9" t="n">
        <f aca="false">F85</f>
        <v>76666.6666666664</v>
      </c>
      <c r="C86" s="9" t="n">
        <f aca="false">E86+D86</f>
        <v>724.999999999998</v>
      </c>
      <c r="D86" s="9" t="n">
        <f aca="false">B86*Inputs!$C$8</f>
        <v>447.222222222221</v>
      </c>
      <c r="E86" s="9" t="n">
        <f aca="false">Inputs!$C$5/Inputs!$C$9</f>
        <v>277.777777777778</v>
      </c>
      <c r="F86" s="9" t="n">
        <f aca="false">B86-E86</f>
        <v>76388.8888888886</v>
      </c>
    </row>
    <row r="87" customFormat="false" ht="15" hidden="false" customHeight="false" outlineLevel="0" collapsed="false">
      <c r="A87" s="0" t="n">
        <v>86</v>
      </c>
      <c r="B87" s="9" t="n">
        <f aca="false">F86</f>
        <v>76388.8888888886</v>
      </c>
      <c r="C87" s="9" t="n">
        <f aca="false">E87+D87</f>
        <v>723.379629629628</v>
      </c>
      <c r="D87" s="9" t="n">
        <f aca="false">B87*Inputs!$C$8</f>
        <v>445.60185185185</v>
      </c>
      <c r="E87" s="9" t="n">
        <f aca="false">Inputs!$C$5/Inputs!$C$9</f>
        <v>277.777777777778</v>
      </c>
      <c r="F87" s="9" t="n">
        <f aca="false">B87-E87</f>
        <v>76111.1111111108</v>
      </c>
    </row>
    <row r="88" customFormat="false" ht="15" hidden="false" customHeight="false" outlineLevel="0" collapsed="false">
      <c r="A88" s="0" t="n">
        <v>87</v>
      </c>
      <c r="B88" s="9" t="n">
        <f aca="false">F87</f>
        <v>76111.1111111108</v>
      </c>
      <c r="C88" s="9" t="n">
        <f aca="false">E88+D88</f>
        <v>721.759259259258</v>
      </c>
      <c r="D88" s="9" t="n">
        <f aca="false">B88*Inputs!$C$8</f>
        <v>443.98148148148</v>
      </c>
      <c r="E88" s="9" t="n">
        <f aca="false">Inputs!$C$5/Inputs!$C$9</f>
        <v>277.777777777778</v>
      </c>
      <c r="F88" s="9" t="n">
        <f aca="false">B88-E88</f>
        <v>75833.3333333331</v>
      </c>
    </row>
    <row r="89" customFormat="false" ht="15" hidden="false" customHeight="false" outlineLevel="0" collapsed="false">
      <c r="A89" s="0" t="n">
        <v>88</v>
      </c>
      <c r="B89" s="9" t="n">
        <f aca="false">F88</f>
        <v>75833.3333333331</v>
      </c>
      <c r="C89" s="9" t="n">
        <f aca="false">E89+D89</f>
        <v>720.138888888887</v>
      </c>
      <c r="D89" s="9" t="n">
        <f aca="false">B89*Inputs!$C$8</f>
        <v>442.36111111111</v>
      </c>
      <c r="E89" s="9" t="n">
        <f aca="false">Inputs!$C$5/Inputs!$C$9</f>
        <v>277.777777777778</v>
      </c>
      <c r="F89" s="9" t="n">
        <f aca="false">B89-E89</f>
        <v>75555.5555555553</v>
      </c>
    </row>
    <row r="90" customFormat="false" ht="15" hidden="false" customHeight="false" outlineLevel="0" collapsed="false">
      <c r="A90" s="0" t="n">
        <v>89</v>
      </c>
      <c r="B90" s="9" t="n">
        <f aca="false">F89</f>
        <v>75555.5555555553</v>
      </c>
      <c r="C90" s="9" t="n">
        <f aca="false">E90+D90</f>
        <v>718.518518518517</v>
      </c>
      <c r="D90" s="9" t="n">
        <f aca="false">B90*Inputs!$C$8</f>
        <v>440.740740740739</v>
      </c>
      <c r="E90" s="9" t="n">
        <f aca="false">Inputs!$C$5/Inputs!$C$9</f>
        <v>277.777777777778</v>
      </c>
      <c r="F90" s="9" t="n">
        <f aca="false">B90-E90</f>
        <v>75277.7777777775</v>
      </c>
    </row>
    <row r="91" customFormat="false" ht="15" hidden="false" customHeight="false" outlineLevel="0" collapsed="false">
      <c r="A91" s="0" t="n">
        <v>90</v>
      </c>
      <c r="B91" s="9" t="n">
        <f aca="false">F90</f>
        <v>75277.7777777775</v>
      </c>
      <c r="C91" s="9" t="n">
        <f aca="false">E91+D91</f>
        <v>716.898148148146</v>
      </c>
      <c r="D91" s="9" t="n">
        <f aca="false">B91*Inputs!$C$8</f>
        <v>439.120370370369</v>
      </c>
      <c r="E91" s="9" t="n">
        <f aca="false">Inputs!$C$5/Inputs!$C$9</f>
        <v>277.777777777778</v>
      </c>
      <c r="F91" s="9" t="n">
        <f aca="false">B91-E91</f>
        <v>74999.9999999997</v>
      </c>
    </row>
    <row r="92" customFormat="false" ht="15" hidden="false" customHeight="false" outlineLevel="0" collapsed="false">
      <c r="A92" s="0" t="n">
        <v>91</v>
      </c>
      <c r="B92" s="9" t="n">
        <f aca="false">F91</f>
        <v>74999.9999999997</v>
      </c>
      <c r="C92" s="9" t="n">
        <f aca="false">E92+D92</f>
        <v>715.277777777776</v>
      </c>
      <c r="D92" s="9" t="n">
        <f aca="false">B92*Inputs!$C$8</f>
        <v>437.499999999998</v>
      </c>
      <c r="E92" s="9" t="n">
        <f aca="false">Inputs!$C$5/Inputs!$C$9</f>
        <v>277.777777777778</v>
      </c>
      <c r="F92" s="9" t="n">
        <f aca="false">B92-E92</f>
        <v>74722.2222222219</v>
      </c>
    </row>
    <row r="93" customFormat="false" ht="15" hidden="false" customHeight="false" outlineLevel="0" collapsed="false">
      <c r="A93" s="0" t="n">
        <v>92</v>
      </c>
      <c r="B93" s="9" t="n">
        <f aca="false">F92</f>
        <v>74722.2222222219</v>
      </c>
      <c r="C93" s="9" t="n">
        <f aca="false">E93+D93</f>
        <v>713.657407407406</v>
      </c>
      <c r="D93" s="9" t="n">
        <f aca="false">B93*Inputs!$C$8</f>
        <v>435.879629629628</v>
      </c>
      <c r="E93" s="9" t="n">
        <f aca="false">Inputs!$C$5/Inputs!$C$9</f>
        <v>277.777777777778</v>
      </c>
      <c r="F93" s="9" t="n">
        <f aca="false">B93-E93</f>
        <v>74444.4444444442</v>
      </c>
    </row>
    <row r="94" customFormat="false" ht="15" hidden="false" customHeight="false" outlineLevel="0" collapsed="false">
      <c r="A94" s="0" t="n">
        <v>93</v>
      </c>
      <c r="B94" s="9" t="n">
        <f aca="false">F93</f>
        <v>74444.4444444442</v>
      </c>
      <c r="C94" s="9" t="n">
        <f aca="false">E94+D94</f>
        <v>712.037037037035</v>
      </c>
      <c r="D94" s="9" t="n">
        <f aca="false">B94*Inputs!$C$8</f>
        <v>434.259259259258</v>
      </c>
      <c r="E94" s="9" t="n">
        <f aca="false">Inputs!$C$5/Inputs!$C$9</f>
        <v>277.777777777778</v>
      </c>
      <c r="F94" s="9" t="n">
        <f aca="false">B94-E94</f>
        <v>74166.6666666664</v>
      </c>
    </row>
    <row r="95" customFormat="false" ht="15" hidden="false" customHeight="false" outlineLevel="0" collapsed="false">
      <c r="A95" s="0" t="n">
        <v>94</v>
      </c>
      <c r="B95" s="9" t="n">
        <f aca="false">F94</f>
        <v>74166.6666666664</v>
      </c>
      <c r="C95" s="9" t="n">
        <f aca="false">E95+D95</f>
        <v>710.416666666665</v>
      </c>
      <c r="D95" s="9" t="n">
        <f aca="false">B95*Inputs!$C$8</f>
        <v>432.638888888887</v>
      </c>
      <c r="E95" s="9" t="n">
        <f aca="false">Inputs!$C$5/Inputs!$C$9</f>
        <v>277.777777777778</v>
      </c>
      <c r="F95" s="9" t="n">
        <f aca="false">B95-E95</f>
        <v>73888.8888888886</v>
      </c>
    </row>
    <row r="96" customFormat="false" ht="15" hidden="false" customHeight="false" outlineLevel="0" collapsed="false">
      <c r="A96" s="0" t="n">
        <v>95</v>
      </c>
      <c r="B96" s="9" t="n">
        <f aca="false">F95</f>
        <v>73888.8888888886</v>
      </c>
      <c r="C96" s="9" t="n">
        <f aca="false">E96+D96</f>
        <v>708.796296296295</v>
      </c>
      <c r="D96" s="9" t="n">
        <f aca="false">B96*Inputs!$C$8</f>
        <v>431.018518518517</v>
      </c>
      <c r="E96" s="9" t="n">
        <f aca="false">Inputs!$C$5/Inputs!$C$9</f>
        <v>277.777777777778</v>
      </c>
      <c r="F96" s="9" t="n">
        <f aca="false">B96-E96</f>
        <v>73611.1111111108</v>
      </c>
    </row>
    <row r="97" customFormat="false" ht="15" hidden="false" customHeight="false" outlineLevel="0" collapsed="false">
      <c r="A97" s="0" t="n">
        <v>96</v>
      </c>
      <c r="B97" s="9" t="n">
        <f aca="false">F96</f>
        <v>73611.1111111108</v>
      </c>
      <c r="C97" s="9" t="n">
        <f aca="false">E97+D97</f>
        <v>707.175925925924</v>
      </c>
      <c r="D97" s="9" t="n">
        <f aca="false">B97*Inputs!$C$8</f>
        <v>429.398148148146</v>
      </c>
      <c r="E97" s="9" t="n">
        <f aca="false">Inputs!$C$5/Inputs!$C$9</f>
        <v>277.777777777778</v>
      </c>
      <c r="F97" s="9" t="n">
        <f aca="false">B97-E97</f>
        <v>73333.333333333</v>
      </c>
    </row>
    <row r="98" customFormat="false" ht="15" hidden="false" customHeight="false" outlineLevel="0" collapsed="false">
      <c r="A98" s="0" t="n">
        <v>97</v>
      </c>
      <c r="B98" s="9" t="n">
        <f aca="false">F97</f>
        <v>73333.333333333</v>
      </c>
      <c r="C98" s="9" t="n">
        <f aca="false">E98+D98</f>
        <v>705.555555555554</v>
      </c>
      <c r="D98" s="9" t="n">
        <f aca="false">B98*Inputs!$C$8</f>
        <v>427.777777777776</v>
      </c>
      <c r="E98" s="9" t="n">
        <f aca="false">Inputs!$C$5/Inputs!$C$9</f>
        <v>277.777777777778</v>
      </c>
      <c r="F98" s="9" t="n">
        <f aca="false">B98-E98</f>
        <v>73055.5555555552</v>
      </c>
    </row>
    <row r="99" customFormat="false" ht="15" hidden="false" customHeight="false" outlineLevel="0" collapsed="false">
      <c r="A99" s="0" t="n">
        <v>98</v>
      </c>
      <c r="B99" s="9" t="n">
        <f aca="false">F98</f>
        <v>73055.5555555552</v>
      </c>
      <c r="C99" s="9" t="n">
        <f aca="false">E99+D99</f>
        <v>703.935185185183</v>
      </c>
      <c r="D99" s="9" t="n">
        <f aca="false">B99*Inputs!$C$8</f>
        <v>426.157407407406</v>
      </c>
      <c r="E99" s="9" t="n">
        <f aca="false">Inputs!$C$5/Inputs!$C$9</f>
        <v>277.777777777778</v>
      </c>
      <c r="F99" s="9" t="n">
        <f aca="false">B99-E99</f>
        <v>72777.7777777775</v>
      </c>
    </row>
    <row r="100" customFormat="false" ht="15" hidden="false" customHeight="false" outlineLevel="0" collapsed="false">
      <c r="A100" s="0" t="n">
        <v>99</v>
      </c>
      <c r="B100" s="9" t="n">
        <f aca="false">F99</f>
        <v>72777.7777777775</v>
      </c>
      <c r="C100" s="9" t="n">
        <f aca="false">E100+D100</f>
        <v>702.314814814813</v>
      </c>
      <c r="D100" s="9" t="n">
        <f aca="false">B100*Inputs!$C$8</f>
        <v>424.537037037035</v>
      </c>
      <c r="E100" s="9" t="n">
        <f aca="false">Inputs!$C$5/Inputs!$C$9</f>
        <v>277.777777777778</v>
      </c>
      <c r="F100" s="9" t="n">
        <f aca="false">B100-E100</f>
        <v>72499.9999999997</v>
      </c>
    </row>
    <row r="101" customFormat="false" ht="15" hidden="false" customHeight="false" outlineLevel="0" collapsed="false">
      <c r="A101" s="0" t="n">
        <v>100</v>
      </c>
      <c r="B101" s="9" t="n">
        <f aca="false">F100</f>
        <v>72499.9999999997</v>
      </c>
      <c r="C101" s="9" t="n">
        <f aca="false">E101+D101</f>
        <v>700.694444444443</v>
      </c>
      <c r="D101" s="9" t="n">
        <f aca="false">B101*Inputs!$C$8</f>
        <v>422.916666666665</v>
      </c>
      <c r="E101" s="9" t="n">
        <f aca="false">Inputs!$C$5/Inputs!$C$9</f>
        <v>277.777777777778</v>
      </c>
      <c r="F101" s="9" t="n">
        <f aca="false">B101-E101</f>
        <v>72222.2222222219</v>
      </c>
    </row>
    <row r="102" customFormat="false" ht="15" hidden="false" customHeight="false" outlineLevel="0" collapsed="false">
      <c r="A102" s="0" t="n">
        <v>101</v>
      </c>
      <c r="B102" s="9" t="n">
        <f aca="false">F101</f>
        <v>72222.2222222219</v>
      </c>
      <c r="C102" s="9" t="n">
        <f aca="false">E102+D102</f>
        <v>699.074074074072</v>
      </c>
      <c r="D102" s="9" t="n">
        <f aca="false">B102*Inputs!$C$8</f>
        <v>421.296296296294</v>
      </c>
      <c r="E102" s="9" t="n">
        <f aca="false">Inputs!$C$5/Inputs!$C$9</f>
        <v>277.777777777778</v>
      </c>
      <c r="F102" s="9" t="n">
        <f aca="false">B102-E102</f>
        <v>71944.4444444441</v>
      </c>
    </row>
    <row r="103" customFormat="false" ht="15" hidden="false" customHeight="false" outlineLevel="0" collapsed="false">
      <c r="A103" s="0" t="n">
        <v>102</v>
      </c>
      <c r="B103" s="9" t="n">
        <f aca="false">F102</f>
        <v>71944.4444444441</v>
      </c>
      <c r="C103" s="9" t="n">
        <f aca="false">E103+D103</f>
        <v>697.453703703702</v>
      </c>
      <c r="D103" s="9" t="n">
        <f aca="false">B103*Inputs!$C$8</f>
        <v>419.675925925924</v>
      </c>
      <c r="E103" s="9" t="n">
        <f aca="false">Inputs!$C$5/Inputs!$C$9</f>
        <v>277.777777777778</v>
      </c>
      <c r="F103" s="9" t="n">
        <f aca="false">B103-E103</f>
        <v>71666.6666666663</v>
      </c>
    </row>
    <row r="104" customFormat="false" ht="15" hidden="false" customHeight="false" outlineLevel="0" collapsed="false">
      <c r="A104" s="0" t="n">
        <v>103</v>
      </c>
      <c r="B104" s="9" t="n">
        <f aca="false">F103</f>
        <v>71666.6666666663</v>
      </c>
      <c r="C104" s="9" t="n">
        <f aca="false">E104+D104</f>
        <v>695.833333333331</v>
      </c>
      <c r="D104" s="9" t="n">
        <f aca="false">B104*Inputs!$C$8</f>
        <v>418.055555555554</v>
      </c>
      <c r="E104" s="9" t="n">
        <f aca="false">Inputs!$C$5/Inputs!$C$9</f>
        <v>277.777777777778</v>
      </c>
      <c r="F104" s="9" t="n">
        <f aca="false">B104-E104</f>
        <v>71388.8888888886</v>
      </c>
    </row>
    <row r="105" customFormat="false" ht="15" hidden="false" customHeight="false" outlineLevel="0" collapsed="false">
      <c r="A105" s="0" t="n">
        <v>104</v>
      </c>
      <c r="B105" s="9" t="n">
        <f aca="false">F104</f>
        <v>71388.8888888886</v>
      </c>
      <c r="C105" s="9" t="n">
        <f aca="false">E105+D105</f>
        <v>694.212962962961</v>
      </c>
      <c r="D105" s="9" t="n">
        <f aca="false">B105*Inputs!$C$8</f>
        <v>416.435185185183</v>
      </c>
      <c r="E105" s="9" t="n">
        <f aca="false">Inputs!$C$5/Inputs!$C$9</f>
        <v>277.777777777778</v>
      </c>
      <c r="F105" s="9" t="n">
        <f aca="false">B105-E105</f>
        <v>71111.1111111108</v>
      </c>
    </row>
    <row r="106" customFormat="false" ht="15" hidden="false" customHeight="false" outlineLevel="0" collapsed="false">
      <c r="A106" s="0" t="n">
        <v>105</v>
      </c>
      <c r="B106" s="9" t="n">
        <f aca="false">F105</f>
        <v>71111.1111111108</v>
      </c>
      <c r="C106" s="9" t="n">
        <f aca="false">E106+D106</f>
        <v>692.592592592591</v>
      </c>
      <c r="D106" s="9" t="n">
        <f aca="false">B106*Inputs!$C$8</f>
        <v>414.814814814813</v>
      </c>
      <c r="E106" s="9" t="n">
        <f aca="false">Inputs!$C$5/Inputs!$C$9</f>
        <v>277.777777777778</v>
      </c>
      <c r="F106" s="9" t="n">
        <f aca="false">B106-E106</f>
        <v>70833.333333333</v>
      </c>
    </row>
    <row r="107" customFormat="false" ht="15" hidden="false" customHeight="false" outlineLevel="0" collapsed="false">
      <c r="A107" s="0" t="n">
        <v>106</v>
      </c>
      <c r="B107" s="9" t="n">
        <f aca="false">F106</f>
        <v>70833.333333333</v>
      </c>
      <c r="C107" s="9" t="n">
        <f aca="false">E107+D107</f>
        <v>690.97222222222</v>
      </c>
      <c r="D107" s="9" t="n">
        <f aca="false">B107*Inputs!$C$8</f>
        <v>413.194444444442</v>
      </c>
      <c r="E107" s="9" t="n">
        <f aca="false">Inputs!$C$5/Inputs!$C$9</f>
        <v>277.777777777778</v>
      </c>
      <c r="F107" s="9" t="n">
        <f aca="false">B107-E107</f>
        <v>70555.5555555552</v>
      </c>
    </row>
    <row r="108" customFormat="false" ht="15" hidden="false" customHeight="false" outlineLevel="0" collapsed="false">
      <c r="A108" s="0" t="n">
        <v>107</v>
      </c>
      <c r="B108" s="9" t="n">
        <f aca="false">F107</f>
        <v>70555.5555555552</v>
      </c>
      <c r="C108" s="9" t="n">
        <f aca="false">E108+D108</f>
        <v>689.35185185185</v>
      </c>
      <c r="D108" s="9" t="n">
        <f aca="false">B108*Inputs!$C$8</f>
        <v>411.574074074072</v>
      </c>
      <c r="E108" s="9" t="n">
        <f aca="false">Inputs!$C$5/Inputs!$C$9</f>
        <v>277.777777777778</v>
      </c>
      <c r="F108" s="9" t="n">
        <f aca="false">B108-E108</f>
        <v>70277.7777777774</v>
      </c>
    </row>
    <row r="109" customFormat="false" ht="15" hidden="false" customHeight="false" outlineLevel="0" collapsed="false">
      <c r="A109" s="0" t="n">
        <v>108</v>
      </c>
      <c r="B109" s="9" t="n">
        <f aca="false">F108</f>
        <v>70277.7777777774</v>
      </c>
      <c r="C109" s="9" t="n">
        <f aca="false">E109+D109</f>
        <v>687.73148148148</v>
      </c>
      <c r="D109" s="9" t="n">
        <f aca="false">B109*Inputs!$C$8</f>
        <v>409.953703703702</v>
      </c>
      <c r="E109" s="9" t="n">
        <f aca="false">Inputs!$C$5/Inputs!$C$9</f>
        <v>277.777777777778</v>
      </c>
      <c r="F109" s="9" t="n">
        <f aca="false">B109-E109</f>
        <v>69999.9999999997</v>
      </c>
    </row>
    <row r="110" customFormat="false" ht="15" hidden="false" customHeight="false" outlineLevel="0" collapsed="false">
      <c r="A110" s="0" t="n">
        <v>109</v>
      </c>
      <c r="B110" s="9" t="n">
        <f aca="false">F109</f>
        <v>69999.9999999997</v>
      </c>
      <c r="C110" s="9" t="n">
        <f aca="false">E110+D110</f>
        <v>686.111111111109</v>
      </c>
      <c r="D110" s="9" t="n">
        <f aca="false">B110*Inputs!$C$8</f>
        <v>408.333333333331</v>
      </c>
      <c r="E110" s="9" t="n">
        <f aca="false">Inputs!$C$5/Inputs!$C$9</f>
        <v>277.777777777778</v>
      </c>
      <c r="F110" s="9" t="n">
        <f aca="false">B110-E110</f>
        <v>69722.2222222219</v>
      </c>
    </row>
    <row r="111" customFormat="false" ht="15" hidden="false" customHeight="false" outlineLevel="0" collapsed="false">
      <c r="A111" s="0" t="n">
        <v>110</v>
      </c>
      <c r="B111" s="9" t="n">
        <f aca="false">F110</f>
        <v>69722.2222222219</v>
      </c>
      <c r="C111" s="9" t="n">
        <f aca="false">E111+D111</f>
        <v>684.490740740739</v>
      </c>
      <c r="D111" s="9" t="n">
        <f aca="false">B111*Inputs!$C$8</f>
        <v>406.712962962961</v>
      </c>
      <c r="E111" s="9" t="n">
        <f aca="false">Inputs!$C$5/Inputs!$C$9</f>
        <v>277.777777777778</v>
      </c>
      <c r="F111" s="9" t="n">
        <f aca="false">B111-E111</f>
        <v>69444.4444444441</v>
      </c>
    </row>
    <row r="112" customFormat="false" ht="15" hidden="false" customHeight="false" outlineLevel="0" collapsed="false">
      <c r="A112" s="0" t="n">
        <v>111</v>
      </c>
      <c r="B112" s="9" t="n">
        <f aca="false">F111</f>
        <v>69444.4444444441</v>
      </c>
      <c r="C112" s="9" t="n">
        <f aca="false">E112+D112</f>
        <v>682.870370370368</v>
      </c>
      <c r="D112" s="9" t="n">
        <f aca="false">B112*Inputs!$C$8</f>
        <v>405.092592592591</v>
      </c>
      <c r="E112" s="9" t="n">
        <f aca="false">Inputs!$C$5/Inputs!$C$9</f>
        <v>277.777777777778</v>
      </c>
      <c r="F112" s="9" t="n">
        <f aca="false">B112-E112</f>
        <v>69166.6666666663</v>
      </c>
    </row>
    <row r="113" customFormat="false" ht="15" hidden="false" customHeight="false" outlineLevel="0" collapsed="false">
      <c r="A113" s="0" t="n">
        <v>112</v>
      </c>
      <c r="B113" s="9" t="n">
        <f aca="false">F112</f>
        <v>69166.6666666663</v>
      </c>
      <c r="C113" s="9" t="n">
        <f aca="false">E113+D113</f>
        <v>681.249999999998</v>
      </c>
      <c r="D113" s="9" t="n">
        <f aca="false">B113*Inputs!$C$8</f>
        <v>403.47222222222</v>
      </c>
      <c r="E113" s="9" t="n">
        <f aca="false">Inputs!$C$5/Inputs!$C$9</f>
        <v>277.777777777778</v>
      </c>
      <c r="F113" s="9" t="n">
        <f aca="false">B113-E113</f>
        <v>68888.8888888885</v>
      </c>
    </row>
    <row r="114" customFormat="false" ht="15" hidden="false" customHeight="false" outlineLevel="0" collapsed="false">
      <c r="A114" s="0" t="n">
        <v>113</v>
      </c>
      <c r="B114" s="9" t="n">
        <f aca="false">F113</f>
        <v>68888.8888888885</v>
      </c>
      <c r="C114" s="9" t="n">
        <f aca="false">E114+D114</f>
        <v>679.629629629628</v>
      </c>
      <c r="D114" s="9" t="n">
        <f aca="false">B114*Inputs!$C$8</f>
        <v>401.85185185185</v>
      </c>
      <c r="E114" s="9" t="n">
        <f aca="false">Inputs!$C$5/Inputs!$C$9</f>
        <v>277.777777777778</v>
      </c>
      <c r="F114" s="9" t="n">
        <f aca="false">B114-E114</f>
        <v>68611.1111111108</v>
      </c>
    </row>
    <row r="115" customFormat="false" ht="15" hidden="false" customHeight="false" outlineLevel="0" collapsed="false">
      <c r="A115" s="0" t="n">
        <v>114</v>
      </c>
      <c r="B115" s="9" t="n">
        <f aca="false">F114</f>
        <v>68611.1111111108</v>
      </c>
      <c r="C115" s="9" t="n">
        <f aca="false">E115+D115</f>
        <v>678.009259259257</v>
      </c>
      <c r="D115" s="9" t="n">
        <f aca="false">B115*Inputs!$C$8</f>
        <v>400.231481481479</v>
      </c>
      <c r="E115" s="9" t="n">
        <f aca="false">Inputs!$C$5/Inputs!$C$9</f>
        <v>277.777777777778</v>
      </c>
      <c r="F115" s="9" t="n">
        <f aca="false">B115-E115</f>
        <v>68333.333333333</v>
      </c>
    </row>
    <row r="116" customFormat="false" ht="15" hidden="false" customHeight="false" outlineLevel="0" collapsed="false">
      <c r="A116" s="0" t="n">
        <v>115</v>
      </c>
      <c r="B116" s="9" t="n">
        <f aca="false">F115</f>
        <v>68333.333333333</v>
      </c>
      <c r="C116" s="9" t="n">
        <f aca="false">E116+D116</f>
        <v>676.388888888887</v>
      </c>
      <c r="D116" s="9" t="n">
        <f aca="false">B116*Inputs!$C$8</f>
        <v>398.611111111109</v>
      </c>
      <c r="E116" s="9" t="n">
        <f aca="false">Inputs!$C$5/Inputs!$C$9</f>
        <v>277.777777777778</v>
      </c>
      <c r="F116" s="9" t="n">
        <f aca="false">B116-E116</f>
        <v>68055.5555555552</v>
      </c>
    </row>
    <row r="117" customFormat="false" ht="15" hidden="false" customHeight="false" outlineLevel="0" collapsed="false">
      <c r="A117" s="0" t="n">
        <v>116</v>
      </c>
      <c r="B117" s="9" t="n">
        <f aca="false">F116</f>
        <v>68055.5555555552</v>
      </c>
      <c r="C117" s="9" t="n">
        <f aca="false">E117+D117</f>
        <v>674.768518518516</v>
      </c>
      <c r="D117" s="9" t="n">
        <f aca="false">B117*Inputs!$C$8</f>
        <v>396.990740740739</v>
      </c>
      <c r="E117" s="9" t="n">
        <f aca="false">Inputs!$C$5/Inputs!$C$9</f>
        <v>277.777777777778</v>
      </c>
      <c r="F117" s="9" t="n">
        <f aca="false">B117-E117</f>
        <v>67777.7777777774</v>
      </c>
    </row>
    <row r="118" customFormat="false" ht="15" hidden="false" customHeight="false" outlineLevel="0" collapsed="false">
      <c r="A118" s="0" t="n">
        <v>117</v>
      </c>
      <c r="B118" s="9" t="n">
        <f aca="false">F117</f>
        <v>67777.7777777774</v>
      </c>
      <c r="C118" s="9" t="n">
        <f aca="false">E118+D118</f>
        <v>673.148148148146</v>
      </c>
      <c r="D118" s="9" t="n">
        <f aca="false">B118*Inputs!$C$8</f>
        <v>395.370370370368</v>
      </c>
      <c r="E118" s="9" t="n">
        <f aca="false">Inputs!$C$5/Inputs!$C$9</f>
        <v>277.777777777778</v>
      </c>
      <c r="F118" s="9" t="n">
        <f aca="false">B118-E118</f>
        <v>67499.9999999996</v>
      </c>
    </row>
    <row r="119" customFormat="false" ht="15" hidden="false" customHeight="false" outlineLevel="0" collapsed="false">
      <c r="A119" s="0" t="n">
        <v>118</v>
      </c>
      <c r="B119" s="9" t="n">
        <f aca="false">F118</f>
        <v>67499.9999999996</v>
      </c>
      <c r="C119" s="9" t="n">
        <f aca="false">E119+D119</f>
        <v>671.527777777776</v>
      </c>
      <c r="D119" s="9" t="n">
        <f aca="false">B119*Inputs!$C$8</f>
        <v>393.749999999998</v>
      </c>
      <c r="E119" s="9" t="n">
        <f aca="false">Inputs!$C$5/Inputs!$C$9</f>
        <v>277.777777777778</v>
      </c>
      <c r="F119" s="9" t="n">
        <f aca="false">B119-E119</f>
        <v>67222.2222222218</v>
      </c>
    </row>
    <row r="120" customFormat="false" ht="15" hidden="false" customHeight="false" outlineLevel="0" collapsed="false">
      <c r="A120" s="0" t="n">
        <v>119</v>
      </c>
      <c r="B120" s="9" t="n">
        <f aca="false">F119</f>
        <v>67222.2222222218</v>
      </c>
      <c r="C120" s="9" t="n">
        <f aca="false">E120+D120</f>
        <v>669.907407407405</v>
      </c>
      <c r="D120" s="9" t="n">
        <f aca="false">B120*Inputs!$C$8</f>
        <v>392.129629629627</v>
      </c>
      <c r="E120" s="9" t="n">
        <f aca="false">Inputs!$C$5/Inputs!$C$9</f>
        <v>277.777777777778</v>
      </c>
      <c r="F120" s="9" t="n">
        <f aca="false">B120-E120</f>
        <v>66944.4444444441</v>
      </c>
    </row>
    <row r="121" customFormat="false" ht="15" hidden="false" customHeight="false" outlineLevel="0" collapsed="false">
      <c r="A121" s="0" t="n">
        <v>120</v>
      </c>
      <c r="B121" s="9" t="n">
        <f aca="false">F120</f>
        <v>66944.4444444441</v>
      </c>
      <c r="C121" s="9" t="n">
        <f aca="false">E121+D121</f>
        <v>668.287037037035</v>
      </c>
      <c r="D121" s="9" t="n">
        <f aca="false">B121*Inputs!$C$8</f>
        <v>390.509259259257</v>
      </c>
      <c r="E121" s="9" t="n">
        <f aca="false">Inputs!$C$5/Inputs!$C$9</f>
        <v>277.777777777778</v>
      </c>
      <c r="F121" s="9" t="n">
        <f aca="false">B121-E121</f>
        <v>66666.6666666663</v>
      </c>
    </row>
    <row r="122" customFormat="false" ht="15" hidden="false" customHeight="false" outlineLevel="0" collapsed="false">
      <c r="A122" s="0" t="n">
        <v>121</v>
      </c>
      <c r="B122" s="9" t="n">
        <f aca="false">F121</f>
        <v>66666.6666666663</v>
      </c>
      <c r="C122" s="9" t="n">
        <f aca="false">E122+D122</f>
        <v>666.666666666665</v>
      </c>
      <c r="D122" s="9" t="n">
        <f aca="false">B122*Inputs!$C$8</f>
        <v>388.888888888887</v>
      </c>
      <c r="E122" s="9" t="n">
        <f aca="false">Inputs!$C$5/Inputs!$C$9</f>
        <v>277.777777777778</v>
      </c>
      <c r="F122" s="9" t="n">
        <f aca="false">B122-E122</f>
        <v>66388.8888888885</v>
      </c>
    </row>
    <row r="123" customFormat="false" ht="15" hidden="false" customHeight="false" outlineLevel="0" collapsed="false">
      <c r="A123" s="0" t="n">
        <v>122</v>
      </c>
      <c r="B123" s="9" t="n">
        <f aca="false">F122</f>
        <v>66388.8888888885</v>
      </c>
      <c r="C123" s="9" t="n">
        <f aca="false">E123+D123</f>
        <v>665.046296296294</v>
      </c>
      <c r="D123" s="9" t="n">
        <f aca="false">B123*Inputs!$C$8</f>
        <v>387.268518518516</v>
      </c>
      <c r="E123" s="9" t="n">
        <f aca="false">Inputs!$C$5/Inputs!$C$9</f>
        <v>277.777777777778</v>
      </c>
      <c r="F123" s="9" t="n">
        <f aca="false">B123-E123</f>
        <v>66111.1111111107</v>
      </c>
    </row>
    <row r="124" customFormat="false" ht="15" hidden="false" customHeight="false" outlineLevel="0" collapsed="false">
      <c r="A124" s="0" t="n">
        <v>123</v>
      </c>
      <c r="B124" s="9" t="n">
        <f aca="false">F123</f>
        <v>66111.1111111107</v>
      </c>
      <c r="C124" s="9" t="n">
        <f aca="false">E124+D124</f>
        <v>663.425925925924</v>
      </c>
      <c r="D124" s="9" t="n">
        <f aca="false">B124*Inputs!$C$8</f>
        <v>385.648148148146</v>
      </c>
      <c r="E124" s="9" t="n">
        <f aca="false">Inputs!$C$5/Inputs!$C$9</f>
        <v>277.777777777778</v>
      </c>
      <c r="F124" s="9" t="n">
        <f aca="false">B124-E124</f>
        <v>65833.3333333329</v>
      </c>
    </row>
    <row r="125" customFormat="false" ht="15" hidden="false" customHeight="false" outlineLevel="0" collapsed="false">
      <c r="A125" s="0" t="n">
        <v>124</v>
      </c>
      <c r="B125" s="9" t="n">
        <f aca="false">F124</f>
        <v>65833.3333333329</v>
      </c>
      <c r="C125" s="9" t="n">
        <f aca="false">E125+D125</f>
        <v>661.805555555553</v>
      </c>
      <c r="D125" s="9" t="n">
        <f aca="false">B125*Inputs!$C$8</f>
        <v>384.027777777776</v>
      </c>
      <c r="E125" s="9" t="n">
        <f aca="false">Inputs!$C$5/Inputs!$C$9</f>
        <v>277.777777777778</v>
      </c>
      <c r="F125" s="9" t="n">
        <f aca="false">B125-E125</f>
        <v>65555.5555555552</v>
      </c>
    </row>
    <row r="126" customFormat="false" ht="15" hidden="false" customHeight="false" outlineLevel="0" collapsed="false">
      <c r="A126" s="0" t="n">
        <v>125</v>
      </c>
      <c r="B126" s="9" t="n">
        <f aca="false">F125</f>
        <v>65555.5555555552</v>
      </c>
      <c r="C126" s="9" t="n">
        <f aca="false">E126+D126</f>
        <v>660.185185185183</v>
      </c>
      <c r="D126" s="9" t="n">
        <f aca="false">B126*Inputs!$C$8</f>
        <v>382.407407407405</v>
      </c>
      <c r="E126" s="9" t="n">
        <f aca="false">Inputs!$C$5/Inputs!$C$9</f>
        <v>277.777777777778</v>
      </c>
      <c r="F126" s="9" t="n">
        <f aca="false">B126-E126</f>
        <v>65277.7777777774</v>
      </c>
    </row>
    <row r="127" customFormat="false" ht="15" hidden="false" customHeight="false" outlineLevel="0" collapsed="false">
      <c r="A127" s="0" t="n">
        <v>126</v>
      </c>
      <c r="B127" s="9" t="n">
        <f aca="false">F126</f>
        <v>65277.7777777774</v>
      </c>
      <c r="C127" s="9" t="n">
        <f aca="false">E127+D127</f>
        <v>658.564814814813</v>
      </c>
      <c r="D127" s="9" t="n">
        <f aca="false">B127*Inputs!$C$8</f>
        <v>380.787037037035</v>
      </c>
      <c r="E127" s="9" t="n">
        <f aca="false">Inputs!$C$5/Inputs!$C$9</f>
        <v>277.777777777778</v>
      </c>
      <c r="F127" s="9" t="n">
        <f aca="false">B127-E127</f>
        <v>64999.9999999996</v>
      </c>
    </row>
    <row r="128" customFormat="false" ht="15" hidden="false" customHeight="false" outlineLevel="0" collapsed="false">
      <c r="A128" s="0" t="n">
        <v>127</v>
      </c>
      <c r="B128" s="9" t="n">
        <f aca="false">F127</f>
        <v>64999.9999999996</v>
      </c>
      <c r="C128" s="9" t="n">
        <f aca="false">E128+D128</f>
        <v>656.944444444442</v>
      </c>
      <c r="D128" s="9" t="n">
        <f aca="false">B128*Inputs!$C$8</f>
        <v>379.166666666664</v>
      </c>
      <c r="E128" s="9" t="n">
        <f aca="false">Inputs!$C$5/Inputs!$C$9</f>
        <v>277.777777777778</v>
      </c>
      <c r="F128" s="9" t="n">
        <f aca="false">B128-E128</f>
        <v>64722.2222222218</v>
      </c>
    </row>
    <row r="129" customFormat="false" ht="15" hidden="false" customHeight="false" outlineLevel="0" collapsed="false">
      <c r="A129" s="0" t="n">
        <v>128</v>
      </c>
      <c r="B129" s="9" t="n">
        <f aca="false">F128</f>
        <v>64722.2222222218</v>
      </c>
      <c r="C129" s="9" t="n">
        <f aca="false">E129+D129</f>
        <v>655.324074074072</v>
      </c>
      <c r="D129" s="9" t="n">
        <f aca="false">B129*Inputs!$C$8</f>
        <v>377.546296296294</v>
      </c>
      <c r="E129" s="9" t="n">
        <f aca="false">Inputs!$C$5/Inputs!$C$9</f>
        <v>277.777777777778</v>
      </c>
      <c r="F129" s="9" t="n">
        <f aca="false">B129-E129</f>
        <v>64444.444444444</v>
      </c>
    </row>
    <row r="130" customFormat="false" ht="15" hidden="false" customHeight="false" outlineLevel="0" collapsed="false">
      <c r="A130" s="0" t="n">
        <v>129</v>
      </c>
      <c r="B130" s="9" t="n">
        <f aca="false">F129</f>
        <v>64444.444444444</v>
      </c>
      <c r="C130" s="9" t="n">
        <f aca="false">E130+D130</f>
        <v>653.703703703701</v>
      </c>
      <c r="D130" s="9" t="n">
        <f aca="false">B130*Inputs!$C$8</f>
        <v>375.925925925924</v>
      </c>
      <c r="E130" s="9" t="n">
        <f aca="false">Inputs!$C$5/Inputs!$C$9</f>
        <v>277.777777777778</v>
      </c>
      <c r="F130" s="9" t="n">
        <f aca="false">B130-E130</f>
        <v>64166.6666666663</v>
      </c>
    </row>
    <row r="131" customFormat="false" ht="15" hidden="false" customHeight="false" outlineLevel="0" collapsed="false">
      <c r="A131" s="0" t="n">
        <v>130</v>
      </c>
      <c r="B131" s="9" t="n">
        <f aca="false">F130</f>
        <v>64166.6666666663</v>
      </c>
      <c r="C131" s="9" t="n">
        <f aca="false">E131+D131</f>
        <v>652.083333333331</v>
      </c>
      <c r="D131" s="9" t="n">
        <f aca="false">B131*Inputs!$C$8</f>
        <v>374.305555555553</v>
      </c>
      <c r="E131" s="9" t="n">
        <f aca="false">Inputs!$C$5/Inputs!$C$9</f>
        <v>277.777777777778</v>
      </c>
      <c r="F131" s="9" t="n">
        <f aca="false">B131-E131</f>
        <v>63888.8888888885</v>
      </c>
    </row>
    <row r="132" customFormat="false" ht="15" hidden="false" customHeight="false" outlineLevel="0" collapsed="false">
      <c r="A132" s="0" t="n">
        <v>131</v>
      </c>
      <c r="B132" s="9" t="n">
        <f aca="false">F131</f>
        <v>63888.8888888885</v>
      </c>
      <c r="C132" s="9" t="n">
        <f aca="false">E132+D132</f>
        <v>650.462962962961</v>
      </c>
      <c r="D132" s="9" t="n">
        <f aca="false">B132*Inputs!$C$8</f>
        <v>372.685185185183</v>
      </c>
      <c r="E132" s="9" t="n">
        <f aca="false">Inputs!$C$5/Inputs!$C$9</f>
        <v>277.777777777778</v>
      </c>
      <c r="F132" s="9" t="n">
        <f aca="false">B132-E132</f>
        <v>63611.1111111107</v>
      </c>
    </row>
    <row r="133" customFormat="false" ht="15" hidden="false" customHeight="false" outlineLevel="0" collapsed="false">
      <c r="A133" s="0" t="n">
        <v>132</v>
      </c>
      <c r="B133" s="9" t="n">
        <f aca="false">F132</f>
        <v>63611.1111111107</v>
      </c>
      <c r="C133" s="9" t="n">
        <f aca="false">E133+D133</f>
        <v>648.84259259259</v>
      </c>
      <c r="D133" s="9" t="n">
        <f aca="false">B133*Inputs!$C$8</f>
        <v>371.064814814812</v>
      </c>
      <c r="E133" s="9" t="n">
        <f aca="false">Inputs!$C$5/Inputs!$C$9</f>
        <v>277.777777777778</v>
      </c>
      <c r="F133" s="9" t="n">
        <f aca="false">B133-E133</f>
        <v>63333.3333333329</v>
      </c>
    </row>
    <row r="134" customFormat="false" ht="15" hidden="false" customHeight="false" outlineLevel="0" collapsed="false">
      <c r="A134" s="0" t="n">
        <v>133</v>
      </c>
      <c r="B134" s="9" t="n">
        <f aca="false">F133</f>
        <v>63333.3333333329</v>
      </c>
      <c r="C134" s="9" t="n">
        <f aca="false">E134+D134</f>
        <v>647.22222222222</v>
      </c>
      <c r="D134" s="9" t="n">
        <f aca="false">B134*Inputs!$C$8</f>
        <v>369.444444444442</v>
      </c>
      <c r="E134" s="9" t="n">
        <f aca="false">Inputs!$C$5/Inputs!$C$9</f>
        <v>277.777777777778</v>
      </c>
      <c r="F134" s="9" t="n">
        <f aca="false">B134-E134</f>
        <v>63055.5555555551</v>
      </c>
    </row>
    <row r="135" customFormat="false" ht="15" hidden="false" customHeight="false" outlineLevel="0" collapsed="false">
      <c r="A135" s="0" t="n">
        <v>134</v>
      </c>
      <c r="B135" s="9" t="n">
        <f aca="false">F134</f>
        <v>63055.5555555551</v>
      </c>
      <c r="C135" s="9" t="n">
        <f aca="false">E135+D135</f>
        <v>645.601851851849</v>
      </c>
      <c r="D135" s="9" t="n">
        <f aca="false">B135*Inputs!$C$8</f>
        <v>367.824074074072</v>
      </c>
      <c r="E135" s="9" t="n">
        <f aca="false">Inputs!$C$5/Inputs!$C$9</f>
        <v>277.777777777778</v>
      </c>
      <c r="F135" s="9" t="n">
        <f aca="false">B135-E135</f>
        <v>62777.7777777773</v>
      </c>
    </row>
    <row r="136" customFormat="false" ht="15" hidden="false" customHeight="false" outlineLevel="0" collapsed="false">
      <c r="A136" s="0" t="n">
        <v>135</v>
      </c>
      <c r="B136" s="9" t="n">
        <f aca="false">F135</f>
        <v>62777.7777777773</v>
      </c>
      <c r="C136" s="9" t="n">
        <f aca="false">E136+D136</f>
        <v>643.981481481479</v>
      </c>
      <c r="D136" s="9" t="n">
        <f aca="false">B136*Inputs!$C$8</f>
        <v>366.203703703701</v>
      </c>
      <c r="E136" s="9" t="n">
        <f aca="false">Inputs!$C$5/Inputs!$C$9</f>
        <v>277.777777777778</v>
      </c>
      <c r="F136" s="9" t="n">
        <f aca="false">B136-E136</f>
        <v>62499.9999999996</v>
      </c>
    </row>
    <row r="137" customFormat="false" ht="15" hidden="false" customHeight="false" outlineLevel="0" collapsed="false">
      <c r="A137" s="0" t="n">
        <v>136</v>
      </c>
      <c r="B137" s="9" t="n">
        <f aca="false">F136</f>
        <v>62499.9999999996</v>
      </c>
      <c r="C137" s="9" t="n">
        <f aca="false">E137+D137</f>
        <v>642.361111111109</v>
      </c>
      <c r="D137" s="9" t="n">
        <f aca="false">B137*Inputs!$C$8</f>
        <v>364.583333333331</v>
      </c>
      <c r="E137" s="9" t="n">
        <f aca="false">Inputs!$C$5/Inputs!$C$9</f>
        <v>277.777777777778</v>
      </c>
      <c r="F137" s="9" t="n">
        <f aca="false">B137-E137</f>
        <v>62222.2222222218</v>
      </c>
    </row>
    <row r="138" customFormat="false" ht="15" hidden="false" customHeight="false" outlineLevel="0" collapsed="false">
      <c r="A138" s="0" t="n">
        <v>137</v>
      </c>
      <c r="B138" s="9" t="n">
        <f aca="false">F137</f>
        <v>62222.2222222218</v>
      </c>
      <c r="C138" s="9" t="n">
        <f aca="false">E138+D138</f>
        <v>640.740740740738</v>
      </c>
      <c r="D138" s="9" t="n">
        <f aca="false">B138*Inputs!$C$8</f>
        <v>362.96296296296</v>
      </c>
      <c r="E138" s="9" t="n">
        <f aca="false">Inputs!$C$5/Inputs!$C$9</f>
        <v>277.777777777778</v>
      </c>
      <c r="F138" s="9" t="n">
        <f aca="false">B138-E138</f>
        <v>61944.444444444</v>
      </c>
    </row>
    <row r="139" customFormat="false" ht="15" hidden="false" customHeight="false" outlineLevel="0" collapsed="false">
      <c r="A139" s="0" t="n">
        <v>138</v>
      </c>
      <c r="B139" s="9" t="n">
        <f aca="false">F138</f>
        <v>61944.444444444</v>
      </c>
      <c r="C139" s="9" t="n">
        <f aca="false">E139+D139</f>
        <v>639.120370370368</v>
      </c>
      <c r="D139" s="9" t="n">
        <f aca="false">B139*Inputs!$C$8</f>
        <v>361.34259259259</v>
      </c>
      <c r="E139" s="9" t="n">
        <f aca="false">Inputs!$C$5/Inputs!$C$9</f>
        <v>277.777777777778</v>
      </c>
      <c r="F139" s="9" t="n">
        <f aca="false">B139-E139</f>
        <v>61666.6666666662</v>
      </c>
    </row>
    <row r="140" customFormat="false" ht="15" hidden="false" customHeight="false" outlineLevel="0" collapsed="false">
      <c r="A140" s="0" t="n">
        <v>139</v>
      </c>
      <c r="B140" s="9" t="n">
        <f aca="false">F139</f>
        <v>61666.6666666662</v>
      </c>
      <c r="C140" s="9" t="n">
        <f aca="false">E140+D140</f>
        <v>637.499999999997</v>
      </c>
      <c r="D140" s="9" t="n">
        <f aca="false">B140*Inputs!$C$8</f>
        <v>359.72222222222</v>
      </c>
      <c r="E140" s="9" t="n">
        <f aca="false">Inputs!$C$5/Inputs!$C$9</f>
        <v>277.777777777778</v>
      </c>
      <c r="F140" s="9" t="n">
        <f aca="false">B140-E140</f>
        <v>61388.8888888884</v>
      </c>
    </row>
    <row r="141" customFormat="false" ht="15" hidden="false" customHeight="false" outlineLevel="0" collapsed="false">
      <c r="A141" s="0" t="n">
        <v>140</v>
      </c>
      <c r="B141" s="9" t="n">
        <f aca="false">F140</f>
        <v>61388.8888888884</v>
      </c>
      <c r="C141" s="9" t="n">
        <f aca="false">E141+D141</f>
        <v>635.879629629627</v>
      </c>
      <c r="D141" s="9" t="n">
        <f aca="false">B141*Inputs!$C$8</f>
        <v>358.101851851849</v>
      </c>
      <c r="E141" s="9" t="n">
        <f aca="false">Inputs!$C$5/Inputs!$C$9</f>
        <v>277.777777777778</v>
      </c>
      <c r="F141" s="9" t="n">
        <f aca="false">B141-E141</f>
        <v>61111.1111111107</v>
      </c>
    </row>
    <row r="142" customFormat="false" ht="15" hidden="false" customHeight="false" outlineLevel="0" collapsed="false">
      <c r="A142" s="0" t="n">
        <v>141</v>
      </c>
      <c r="B142" s="9" t="n">
        <f aca="false">F141</f>
        <v>61111.1111111107</v>
      </c>
      <c r="C142" s="9" t="n">
        <f aca="false">E142+D142</f>
        <v>634.259259259257</v>
      </c>
      <c r="D142" s="9" t="n">
        <f aca="false">B142*Inputs!$C$8</f>
        <v>356.481481481479</v>
      </c>
      <c r="E142" s="9" t="n">
        <f aca="false">Inputs!$C$5/Inputs!$C$9</f>
        <v>277.777777777778</v>
      </c>
      <c r="F142" s="9" t="n">
        <f aca="false">B142-E142</f>
        <v>60833.3333333329</v>
      </c>
    </row>
    <row r="143" customFormat="false" ht="15" hidden="false" customHeight="false" outlineLevel="0" collapsed="false">
      <c r="A143" s="0" t="n">
        <v>142</v>
      </c>
      <c r="B143" s="9" t="n">
        <f aca="false">F142</f>
        <v>60833.3333333329</v>
      </c>
      <c r="C143" s="9" t="n">
        <f aca="false">E143+D143</f>
        <v>632.638888888886</v>
      </c>
      <c r="D143" s="9" t="n">
        <f aca="false">B143*Inputs!$C$8</f>
        <v>354.861111111108</v>
      </c>
      <c r="E143" s="9" t="n">
        <f aca="false">Inputs!$C$5/Inputs!$C$9</f>
        <v>277.777777777778</v>
      </c>
      <c r="F143" s="9" t="n">
        <f aca="false">B143-E143</f>
        <v>60555.5555555551</v>
      </c>
    </row>
    <row r="144" customFormat="false" ht="15" hidden="false" customHeight="false" outlineLevel="0" collapsed="false">
      <c r="A144" s="0" t="n">
        <v>143</v>
      </c>
      <c r="B144" s="9" t="n">
        <f aca="false">F143</f>
        <v>60555.5555555551</v>
      </c>
      <c r="C144" s="9" t="n">
        <f aca="false">E144+D144</f>
        <v>631.018518518516</v>
      </c>
      <c r="D144" s="9" t="n">
        <f aca="false">B144*Inputs!$C$8</f>
        <v>353.240740740738</v>
      </c>
      <c r="E144" s="9" t="n">
        <f aca="false">Inputs!$C$5/Inputs!$C$9</f>
        <v>277.777777777778</v>
      </c>
      <c r="F144" s="9" t="n">
        <f aca="false">B144-E144</f>
        <v>60277.7777777773</v>
      </c>
    </row>
    <row r="145" customFormat="false" ht="15" hidden="false" customHeight="false" outlineLevel="0" collapsed="false">
      <c r="A145" s="0" t="n">
        <v>144</v>
      </c>
      <c r="B145" s="9" t="n">
        <f aca="false">F144</f>
        <v>60277.7777777773</v>
      </c>
      <c r="C145" s="9" t="n">
        <f aca="false">E145+D145</f>
        <v>629.398148148146</v>
      </c>
      <c r="D145" s="9" t="n">
        <f aca="false">B145*Inputs!$C$8</f>
        <v>351.620370370368</v>
      </c>
      <c r="E145" s="9" t="n">
        <f aca="false">Inputs!$C$5/Inputs!$C$9</f>
        <v>277.777777777778</v>
      </c>
      <c r="F145" s="9" t="n">
        <f aca="false">B145-E145</f>
        <v>59999.9999999995</v>
      </c>
    </row>
    <row r="146" customFormat="false" ht="15" hidden="false" customHeight="false" outlineLevel="0" collapsed="false">
      <c r="A146" s="0" t="n">
        <v>145</v>
      </c>
      <c r="B146" s="9" t="n">
        <f aca="false">F145</f>
        <v>59999.9999999995</v>
      </c>
      <c r="C146" s="9" t="n">
        <f aca="false">E146+D146</f>
        <v>627.777777777775</v>
      </c>
      <c r="D146" s="9" t="n">
        <f aca="false">B146*Inputs!$C$8</f>
        <v>349.999999999997</v>
      </c>
      <c r="E146" s="9" t="n">
        <f aca="false">Inputs!$C$5/Inputs!$C$9</f>
        <v>277.777777777778</v>
      </c>
      <c r="F146" s="9" t="n">
        <f aca="false">B146-E146</f>
        <v>59722.2222222218</v>
      </c>
    </row>
    <row r="147" customFormat="false" ht="15" hidden="false" customHeight="false" outlineLevel="0" collapsed="false">
      <c r="A147" s="0" t="n">
        <v>146</v>
      </c>
      <c r="B147" s="9" t="n">
        <f aca="false">F146</f>
        <v>59722.2222222218</v>
      </c>
      <c r="C147" s="9" t="n">
        <f aca="false">E147+D147</f>
        <v>626.157407407405</v>
      </c>
      <c r="D147" s="9" t="n">
        <f aca="false">B147*Inputs!$C$8</f>
        <v>348.379629629627</v>
      </c>
      <c r="E147" s="9" t="n">
        <f aca="false">Inputs!$C$5/Inputs!$C$9</f>
        <v>277.777777777778</v>
      </c>
      <c r="F147" s="9" t="n">
        <f aca="false">B147-E147</f>
        <v>59444.444444444</v>
      </c>
    </row>
    <row r="148" customFormat="false" ht="15" hidden="false" customHeight="false" outlineLevel="0" collapsed="false">
      <c r="A148" s="0" t="n">
        <v>147</v>
      </c>
      <c r="B148" s="9" t="n">
        <f aca="false">F147</f>
        <v>59444.444444444</v>
      </c>
      <c r="C148" s="9" t="n">
        <f aca="false">E148+D148</f>
        <v>624.537037037034</v>
      </c>
      <c r="D148" s="9" t="n">
        <f aca="false">B148*Inputs!$C$8</f>
        <v>346.759259259257</v>
      </c>
      <c r="E148" s="9" t="n">
        <f aca="false">Inputs!$C$5/Inputs!$C$9</f>
        <v>277.777777777778</v>
      </c>
      <c r="F148" s="9" t="n">
        <f aca="false">B148-E148</f>
        <v>59166.6666666662</v>
      </c>
    </row>
    <row r="149" customFormat="false" ht="15" hidden="false" customHeight="false" outlineLevel="0" collapsed="false">
      <c r="A149" s="0" t="n">
        <v>148</v>
      </c>
      <c r="B149" s="9" t="n">
        <f aca="false">F148</f>
        <v>59166.6666666662</v>
      </c>
      <c r="C149" s="9" t="n">
        <f aca="false">E149+D149</f>
        <v>622.916666666664</v>
      </c>
      <c r="D149" s="9" t="n">
        <f aca="false">B149*Inputs!$C$8</f>
        <v>345.138888888886</v>
      </c>
      <c r="E149" s="9" t="n">
        <f aca="false">Inputs!$C$5/Inputs!$C$9</f>
        <v>277.777777777778</v>
      </c>
      <c r="F149" s="9" t="n">
        <f aca="false">B149-E149</f>
        <v>58888.8888888884</v>
      </c>
    </row>
    <row r="150" customFormat="false" ht="15" hidden="false" customHeight="false" outlineLevel="0" collapsed="false">
      <c r="A150" s="0" t="n">
        <v>149</v>
      </c>
      <c r="B150" s="9" t="n">
        <f aca="false">F149</f>
        <v>58888.8888888884</v>
      </c>
      <c r="C150" s="9" t="n">
        <f aca="false">E150+D150</f>
        <v>621.296296296294</v>
      </c>
      <c r="D150" s="9" t="n">
        <f aca="false">B150*Inputs!$C$8</f>
        <v>343.518518518516</v>
      </c>
      <c r="E150" s="9" t="n">
        <f aca="false">Inputs!$C$5/Inputs!$C$9</f>
        <v>277.777777777778</v>
      </c>
      <c r="F150" s="9" t="n">
        <f aca="false">B150-E150</f>
        <v>58611.1111111106</v>
      </c>
    </row>
    <row r="151" customFormat="false" ht="15" hidden="false" customHeight="false" outlineLevel="0" collapsed="false">
      <c r="A151" s="0" t="n">
        <v>150</v>
      </c>
      <c r="B151" s="9" t="n">
        <f aca="false">F150</f>
        <v>58611.1111111106</v>
      </c>
      <c r="C151" s="9" t="n">
        <f aca="false">E151+D151</f>
        <v>619.675925925923</v>
      </c>
      <c r="D151" s="9" t="n">
        <f aca="false">B151*Inputs!$C$8</f>
        <v>341.898148148145</v>
      </c>
      <c r="E151" s="9" t="n">
        <f aca="false">Inputs!$C$5/Inputs!$C$9</f>
        <v>277.777777777778</v>
      </c>
      <c r="F151" s="9" t="n">
        <f aca="false">B151-E151</f>
        <v>58333.3333333329</v>
      </c>
    </row>
    <row r="152" customFormat="false" ht="15" hidden="false" customHeight="false" outlineLevel="0" collapsed="false">
      <c r="A152" s="0" t="n">
        <v>151</v>
      </c>
      <c r="B152" s="9" t="n">
        <f aca="false">F151</f>
        <v>58333.3333333329</v>
      </c>
      <c r="C152" s="9" t="n">
        <f aca="false">E152+D152</f>
        <v>618.055555555553</v>
      </c>
      <c r="D152" s="9" t="n">
        <f aca="false">B152*Inputs!$C$8</f>
        <v>340.277777777775</v>
      </c>
      <c r="E152" s="9" t="n">
        <f aca="false">Inputs!$C$5/Inputs!$C$9</f>
        <v>277.777777777778</v>
      </c>
      <c r="F152" s="9" t="n">
        <f aca="false">B152-E152</f>
        <v>58055.5555555551</v>
      </c>
    </row>
    <row r="153" customFormat="false" ht="15" hidden="false" customHeight="false" outlineLevel="0" collapsed="false">
      <c r="A153" s="0" t="n">
        <v>152</v>
      </c>
      <c r="B153" s="9" t="n">
        <f aca="false">F152</f>
        <v>58055.5555555551</v>
      </c>
      <c r="C153" s="9" t="n">
        <f aca="false">E153+D153</f>
        <v>616.435185185182</v>
      </c>
      <c r="D153" s="9" t="n">
        <f aca="false">B153*Inputs!$C$8</f>
        <v>338.657407407405</v>
      </c>
      <c r="E153" s="9" t="n">
        <f aca="false">Inputs!$C$5/Inputs!$C$9</f>
        <v>277.777777777778</v>
      </c>
      <c r="F153" s="9" t="n">
        <f aca="false">B153-E153</f>
        <v>57777.7777777773</v>
      </c>
    </row>
    <row r="154" customFormat="false" ht="15" hidden="false" customHeight="false" outlineLevel="0" collapsed="false">
      <c r="A154" s="0" t="n">
        <v>153</v>
      </c>
      <c r="B154" s="9" t="n">
        <f aca="false">F153</f>
        <v>57777.7777777773</v>
      </c>
      <c r="C154" s="9" t="n">
        <f aca="false">E154+D154</f>
        <v>614.814814814812</v>
      </c>
      <c r="D154" s="9" t="n">
        <f aca="false">B154*Inputs!$C$8</f>
        <v>337.037037037034</v>
      </c>
      <c r="E154" s="9" t="n">
        <f aca="false">Inputs!$C$5/Inputs!$C$9</f>
        <v>277.777777777778</v>
      </c>
      <c r="F154" s="9" t="n">
        <f aca="false">B154-E154</f>
        <v>57499.9999999995</v>
      </c>
    </row>
    <row r="155" customFormat="false" ht="15" hidden="false" customHeight="false" outlineLevel="0" collapsed="false">
      <c r="A155" s="0" t="n">
        <v>154</v>
      </c>
      <c r="B155" s="9" t="n">
        <f aca="false">F154</f>
        <v>57499.9999999995</v>
      </c>
      <c r="C155" s="9" t="n">
        <f aca="false">E155+D155</f>
        <v>613.194444444442</v>
      </c>
      <c r="D155" s="9" t="n">
        <f aca="false">B155*Inputs!$C$8</f>
        <v>335.416666666664</v>
      </c>
      <c r="E155" s="9" t="n">
        <f aca="false">Inputs!$C$5/Inputs!$C$9</f>
        <v>277.777777777778</v>
      </c>
      <c r="F155" s="9" t="n">
        <f aca="false">B155-E155</f>
        <v>57222.2222222217</v>
      </c>
    </row>
    <row r="156" customFormat="false" ht="15" hidden="false" customHeight="false" outlineLevel="0" collapsed="false">
      <c r="A156" s="0" t="n">
        <v>155</v>
      </c>
      <c r="B156" s="9" t="n">
        <f aca="false">F155</f>
        <v>57222.2222222217</v>
      </c>
      <c r="C156" s="9" t="n">
        <f aca="false">E156+D156</f>
        <v>611.574074074071</v>
      </c>
      <c r="D156" s="9" t="n">
        <f aca="false">B156*Inputs!$C$8</f>
        <v>333.796296296293</v>
      </c>
      <c r="E156" s="9" t="n">
        <f aca="false">Inputs!$C$5/Inputs!$C$9</f>
        <v>277.777777777778</v>
      </c>
      <c r="F156" s="9" t="n">
        <f aca="false">B156-E156</f>
        <v>56944.4444444439</v>
      </c>
    </row>
    <row r="157" customFormat="false" ht="15" hidden="false" customHeight="false" outlineLevel="0" collapsed="false">
      <c r="A157" s="0" t="n">
        <v>156</v>
      </c>
      <c r="B157" s="9" t="n">
        <f aca="false">F156</f>
        <v>56944.4444444439</v>
      </c>
      <c r="C157" s="9" t="n">
        <f aca="false">E157+D157</f>
        <v>609.953703703701</v>
      </c>
      <c r="D157" s="9" t="n">
        <f aca="false">B157*Inputs!$C$8</f>
        <v>332.175925925923</v>
      </c>
      <c r="E157" s="9" t="n">
        <f aca="false">Inputs!$C$5/Inputs!$C$9</f>
        <v>277.777777777778</v>
      </c>
      <c r="F157" s="9" t="n">
        <f aca="false">B157-E157</f>
        <v>56666.6666666662</v>
      </c>
    </row>
    <row r="158" customFormat="false" ht="15" hidden="false" customHeight="false" outlineLevel="0" collapsed="false">
      <c r="A158" s="0" t="n">
        <v>157</v>
      </c>
      <c r="B158" s="9" t="n">
        <f aca="false">F157</f>
        <v>56666.6666666662</v>
      </c>
      <c r="C158" s="9" t="n">
        <f aca="false">E158+D158</f>
        <v>608.33333333333</v>
      </c>
      <c r="D158" s="9" t="n">
        <f aca="false">B158*Inputs!$C$8</f>
        <v>330.555555555553</v>
      </c>
      <c r="E158" s="9" t="n">
        <f aca="false">Inputs!$C$5/Inputs!$C$9</f>
        <v>277.777777777778</v>
      </c>
      <c r="F158" s="9" t="n">
        <f aca="false">B158-E158</f>
        <v>56388.8888888884</v>
      </c>
    </row>
    <row r="159" customFormat="false" ht="15" hidden="false" customHeight="false" outlineLevel="0" collapsed="false">
      <c r="A159" s="0" t="n">
        <v>158</v>
      </c>
      <c r="B159" s="9" t="n">
        <f aca="false">F158</f>
        <v>56388.8888888884</v>
      </c>
      <c r="C159" s="9" t="n">
        <f aca="false">E159+D159</f>
        <v>606.71296296296</v>
      </c>
      <c r="D159" s="9" t="n">
        <f aca="false">B159*Inputs!$C$8</f>
        <v>328.935185185182</v>
      </c>
      <c r="E159" s="9" t="n">
        <f aca="false">Inputs!$C$5/Inputs!$C$9</f>
        <v>277.777777777778</v>
      </c>
      <c r="F159" s="9" t="n">
        <f aca="false">B159-E159</f>
        <v>56111.1111111106</v>
      </c>
    </row>
    <row r="160" customFormat="false" ht="15" hidden="false" customHeight="false" outlineLevel="0" collapsed="false">
      <c r="A160" s="0" t="n">
        <v>159</v>
      </c>
      <c r="B160" s="9" t="n">
        <f aca="false">F159</f>
        <v>56111.1111111106</v>
      </c>
      <c r="C160" s="9" t="n">
        <f aca="false">E160+D160</f>
        <v>605.09259259259</v>
      </c>
      <c r="D160" s="9" t="n">
        <f aca="false">B160*Inputs!$C$8</f>
        <v>327.314814814812</v>
      </c>
      <c r="E160" s="9" t="n">
        <f aca="false">Inputs!$C$5/Inputs!$C$9</f>
        <v>277.777777777778</v>
      </c>
      <c r="F160" s="9" t="n">
        <f aca="false">B160-E160</f>
        <v>55833.3333333328</v>
      </c>
    </row>
    <row r="161" customFormat="false" ht="15" hidden="false" customHeight="false" outlineLevel="0" collapsed="false">
      <c r="A161" s="0" t="n">
        <v>160</v>
      </c>
      <c r="B161" s="9" t="n">
        <f aca="false">F160</f>
        <v>55833.3333333328</v>
      </c>
      <c r="C161" s="9" t="n">
        <f aca="false">E161+D161</f>
        <v>603.472222222219</v>
      </c>
      <c r="D161" s="9" t="n">
        <f aca="false">B161*Inputs!$C$8</f>
        <v>325.694444444441</v>
      </c>
      <c r="E161" s="9" t="n">
        <f aca="false">Inputs!$C$5/Inputs!$C$9</f>
        <v>277.777777777778</v>
      </c>
      <c r="F161" s="9" t="n">
        <f aca="false">B161-E161</f>
        <v>55555.555555555</v>
      </c>
    </row>
    <row r="162" customFormat="false" ht="15" hidden="false" customHeight="false" outlineLevel="0" collapsed="false">
      <c r="A162" s="0" t="n">
        <v>161</v>
      </c>
      <c r="B162" s="9" t="n">
        <f aca="false">F161</f>
        <v>55555.555555555</v>
      </c>
      <c r="C162" s="9" t="n">
        <f aca="false">E162+D162</f>
        <v>601.851851851849</v>
      </c>
      <c r="D162" s="9" t="n">
        <f aca="false">B162*Inputs!$C$8</f>
        <v>324.074074074071</v>
      </c>
      <c r="E162" s="9" t="n">
        <f aca="false">Inputs!$C$5/Inputs!$C$9</f>
        <v>277.777777777778</v>
      </c>
      <c r="F162" s="9" t="n">
        <f aca="false">B162-E162</f>
        <v>55277.7777777773</v>
      </c>
    </row>
    <row r="163" customFormat="false" ht="15" hidden="false" customHeight="false" outlineLevel="0" collapsed="false">
      <c r="A163" s="0" t="n">
        <v>162</v>
      </c>
      <c r="B163" s="9" t="n">
        <f aca="false">F162</f>
        <v>55277.7777777773</v>
      </c>
      <c r="C163" s="9" t="n">
        <f aca="false">E163+D163</f>
        <v>600.231481481479</v>
      </c>
      <c r="D163" s="9" t="n">
        <f aca="false">B163*Inputs!$C$8</f>
        <v>322.453703703701</v>
      </c>
      <c r="E163" s="9" t="n">
        <f aca="false">Inputs!$C$5/Inputs!$C$9</f>
        <v>277.777777777778</v>
      </c>
      <c r="F163" s="9" t="n">
        <f aca="false">B163-E163</f>
        <v>54999.9999999995</v>
      </c>
    </row>
    <row r="164" customFormat="false" ht="15" hidden="false" customHeight="false" outlineLevel="0" collapsed="false">
      <c r="A164" s="0" t="n">
        <v>163</v>
      </c>
      <c r="B164" s="9" t="n">
        <f aca="false">F163</f>
        <v>54999.9999999995</v>
      </c>
      <c r="C164" s="9" t="n">
        <f aca="false">E164+D164</f>
        <v>598.611111111108</v>
      </c>
      <c r="D164" s="9" t="n">
        <f aca="false">B164*Inputs!$C$8</f>
        <v>320.83333333333</v>
      </c>
      <c r="E164" s="9" t="n">
        <f aca="false">Inputs!$C$5/Inputs!$C$9</f>
        <v>277.777777777778</v>
      </c>
      <c r="F164" s="9" t="n">
        <f aca="false">B164-E164</f>
        <v>54722.2222222217</v>
      </c>
    </row>
    <row r="165" customFormat="false" ht="15" hidden="false" customHeight="false" outlineLevel="0" collapsed="false">
      <c r="A165" s="0" t="n">
        <v>164</v>
      </c>
      <c r="B165" s="9" t="n">
        <f aca="false">F164</f>
        <v>54722.2222222217</v>
      </c>
      <c r="C165" s="9" t="n">
        <f aca="false">E165+D165</f>
        <v>596.990740740738</v>
      </c>
      <c r="D165" s="9" t="n">
        <f aca="false">B165*Inputs!$C$8</f>
        <v>319.21296296296</v>
      </c>
      <c r="E165" s="9" t="n">
        <f aca="false">Inputs!$C$5/Inputs!$C$9</f>
        <v>277.777777777778</v>
      </c>
      <c r="F165" s="9" t="n">
        <f aca="false">B165-E165</f>
        <v>54444.4444444439</v>
      </c>
    </row>
    <row r="166" customFormat="false" ht="15" hidden="false" customHeight="false" outlineLevel="0" collapsed="false">
      <c r="A166" s="0" t="n">
        <v>165</v>
      </c>
      <c r="B166" s="9" t="n">
        <f aca="false">F165</f>
        <v>54444.4444444439</v>
      </c>
      <c r="C166" s="9" t="n">
        <f aca="false">E166+D166</f>
        <v>595.370370370367</v>
      </c>
      <c r="D166" s="9" t="n">
        <f aca="false">B166*Inputs!$C$8</f>
        <v>317.59259259259</v>
      </c>
      <c r="E166" s="9" t="n">
        <f aca="false">Inputs!$C$5/Inputs!$C$9</f>
        <v>277.777777777778</v>
      </c>
      <c r="F166" s="9" t="n">
        <f aca="false">B166-E166</f>
        <v>54166.6666666661</v>
      </c>
    </row>
    <row r="167" customFormat="false" ht="15" hidden="false" customHeight="false" outlineLevel="0" collapsed="false">
      <c r="A167" s="0" t="n">
        <v>166</v>
      </c>
      <c r="B167" s="9" t="n">
        <f aca="false">F166</f>
        <v>54166.6666666661</v>
      </c>
      <c r="C167" s="9" t="n">
        <f aca="false">E167+D167</f>
        <v>593.749999999997</v>
      </c>
      <c r="D167" s="9" t="n">
        <f aca="false">B167*Inputs!$C$8</f>
        <v>315.972222222219</v>
      </c>
      <c r="E167" s="9" t="n">
        <f aca="false">Inputs!$C$5/Inputs!$C$9</f>
        <v>277.777777777778</v>
      </c>
      <c r="F167" s="9" t="n">
        <f aca="false">B167-E167</f>
        <v>53888.8888888884</v>
      </c>
    </row>
    <row r="168" customFormat="false" ht="15" hidden="false" customHeight="false" outlineLevel="0" collapsed="false">
      <c r="A168" s="0" t="n">
        <v>167</v>
      </c>
      <c r="B168" s="9" t="n">
        <f aca="false">F167</f>
        <v>53888.8888888884</v>
      </c>
      <c r="C168" s="9" t="n">
        <f aca="false">E168+D168</f>
        <v>592.129629629627</v>
      </c>
      <c r="D168" s="9" t="n">
        <f aca="false">B168*Inputs!$C$8</f>
        <v>314.351851851849</v>
      </c>
      <c r="E168" s="9" t="n">
        <f aca="false">Inputs!$C$5/Inputs!$C$9</f>
        <v>277.777777777778</v>
      </c>
      <c r="F168" s="9" t="n">
        <f aca="false">B168-E168</f>
        <v>53611.1111111106</v>
      </c>
    </row>
    <row r="169" customFormat="false" ht="15" hidden="false" customHeight="false" outlineLevel="0" collapsed="false">
      <c r="A169" s="0" t="n">
        <v>168</v>
      </c>
      <c r="B169" s="9" t="n">
        <f aca="false">F168</f>
        <v>53611.1111111106</v>
      </c>
      <c r="C169" s="9" t="n">
        <f aca="false">E169+D169</f>
        <v>590.509259259256</v>
      </c>
      <c r="D169" s="9" t="n">
        <f aca="false">B169*Inputs!$C$8</f>
        <v>312.731481481478</v>
      </c>
      <c r="E169" s="9" t="n">
        <f aca="false">Inputs!$C$5/Inputs!$C$9</f>
        <v>277.777777777778</v>
      </c>
      <c r="F169" s="9" t="n">
        <f aca="false">B169-E169</f>
        <v>53333.3333333328</v>
      </c>
    </row>
    <row r="170" customFormat="false" ht="15" hidden="false" customHeight="false" outlineLevel="0" collapsed="false">
      <c r="A170" s="0" t="n">
        <v>169</v>
      </c>
      <c r="B170" s="9" t="n">
        <f aca="false">F169</f>
        <v>53333.3333333328</v>
      </c>
      <c r="C170" s="9" t="n">
        <f aca="false">E170+D170</f>
        <v>588.888888888886</v>
      </c>
      <c r="D170" s="9" t="n">
        <f aca="false">B170*Inputs!$C$8</f>
        <v>311.111111111108</v>
      </c>
      <c r="E170" s="9" t="n">
        <f aca="false">Inputs!$C$5/Inputs!$C$9</f>
        <v>277.777777777778</v>
      </c>
      <c r="F170" s="9" t="n">
        <f aca="false">B170-E170</f>
        <v>53055.555555555</v>
      </c>
    </row>
    <row r="171" customFormat="false" ht="15" hidden="false" customHeight="false" outlineLevel="0" collapsed="false">
      <c r="A171" s="0" t="n">
        <v>170</v>
      </c>
      <c r="B171" s="9" t="n">
        <f aca="false">F170</f>
        <v>53055.555555555</v>
      </c>
      <c r="C171" s="9" t="n">
        <f aca="false">E171+D171</f>
        <v>587.268518518515</v>
      </c>
      <c r="D171" s="9" t="n">
        <f aca="false">B171*Inputs!$C$8</f>
        <v>309.490740740738</v>
      </c>
      <c r="E171" s="9" t="n">
        <f aca="false">Inputs!$C$5/Inputs!$C$9</f>
        <v>277.777777777778</v>
      </c>
      <c r="F171" s="9" t="n">
        <f aca="false">B171-E171</f>
        <v>52777.7777777772</v>
      </c>
    </row>
    <row r="172" customFormat="false" ht="15" hidden="false" customHeight="false" outlineLevel="0" collapsed="false">
      <c r="A172" s="0" t="n">
        <v>171</v>
      </c>
      <c r="B172" s="9" t="n">
        <f aca="false">F171</f>
        <v>52777.7777777772</v>
      </c>
      <c r="C172" s="9" t="n">
        <f aca="false">E172+D172</f>
        <v>585.648148148145</v>
      </c>
      <c r="D172" s="9" t="n">
        <f aca="false">B172*Inputs!$C$8</f>
        <v>307.870370370367</v>
      </c>
      <c r="E172" s="9" t="n">
        <f aca="false">Inputs!$C$5/Inputs!$C$9</f>
        <v>277.777777777778</v>
      </c>
      <c r="F172" s="9" t="n">
        <f aca="false">B172-E172</f>
        <v>52499.9999999995</v>
      </c>
    </row>
    <row r="173" customFormat="false" ht="15" hidden="false" customHeight="false" outlineLevel="0" collapsed="false">
      <c r="A173" s="0" t="n">
        <v>172</v>
      </c>
      <c r="B173" s="9" t="n">
        <f aca="false">F172</f>
        <v>52499.9999999995</v>
      </c>
      <c r="C173" s="9" t="n">
        <f aca="false">E173+D173</f>
        <v>584.027777777775</v>
      </c>
      <c r="D173" s="9" t="n">
        <f aca="false">B173*Inputs!$C$8</f>
        <v>306.249999999997</v>
      </c>
      <c r="E173" s="9" t="n">
        <f aca="false">Inputs!$C$5/Inputs!$C$9</f>
        <v>277.777777777778</v>
      </c>
      <c r="F173" s="9" t="n">
        <f aca="false">B173-E173</f>
        <v>52222.2222222217</v>
      </c>
    </row>
    <row r="174" customFormat="false" ht="15" hidden="false" customHeight="false" outlineLevel="0" collapsed="false">
      <c r="A174" s="0" t="n">
        <v>173</v>
      </c>
      <c r="B174" s="9" t="n">
        <f aca="false">F173</f>
        <v>52222.2222222217</v>
      </c>
      <c r="C174" s="9" t="n">
        <f aca="false">E174+D174</f>
        <v>582.407407407404</v>
      </c>
      <c r="D174" s="9" t="n">
        <f aca="false">B174*Inputs!$C$8</f>
        <v>304.629629629626</v>
      </c>
      <c r="E174" s="9" t="n">
        <f aca="false">Inputs!$C$5/Inputs!$C$9</f>
        <v>277.777777777778</v>
      </c>
      <c r="F174" s="9" t="n">
        <f aca="false">B174-E174</f>
        <v>51944.4444444439</v>
      </c>
    </row>
    <row r="175" customFormat="false" ht="15" hidden="false" customHeight="false" outlineLevel="0" collapsed="false">
      <c r="A175" s="0" t="n">
        <v>174</v>
      </c>
      <c r="B175" s="9" t="n">
        <f aca="false">F174</f>
        <v>51944.4444444439</v>
      </c>
      <c r="C175" s="9" t="n">
        <f aca="false">E175+D175</f>
        <v>580.787037037034</v>
      </c>
      <c r="D175" s="9" t="n">
        <f aca="false">B175*Inputs!$C$8</f>
        <v>303.009259259256</v>
      </c>
      <c r="E175" s="9" t="n">
        <f aca="false">Inputs!$C$5/Inputs!$C$9</f>
        <v>277.777777777778</v>
      </c>
      <c r="F175" s="9" t="n">
        <f aca="false">B175-E175</f>
        <v>51666.6666666661</v>
      </c>
    </row>
    <row r="176" customFormat="false" ht="15" hidden="false" customHeight="false" outlineLevel="0" collapsed="false">
      <c r="A176" s="0" t="n">
        <v>175</v>
      </c>
      <c r="B176" s="9" t="n">
        <f aca="false">F175</f>
        <v>51666.6666666661</v>
      </c>
      <c r="C176" s="9" t="n">
        <f aca="false">E176+D176</f>
        <v>579.166666666663</v>
      </c>
      <c r="D176" s="9" t="n">
        <f aca="false">B176*Inputs!$C$8</f>
        <v>301.388888888886</v>
      </c>
      <c r="E176" s="9" t="n">
        <f aca="false">Inputs!$C$5/Inputs!$C$9</f>
        <v>277.777777777778</v>
      </c>
      <c r="F176" s="9" t="n">
        <f aca="false">B176-E176</f>
        <v>51388.8888888883</v>
      </c>
    </row>
    <row r="177" customFormat="false" ht="15" hidden="false" customHeight="false" outlineLevel="0" collapsed="false">
      <c r="A177" s="0" t="n">
        <v>176</v>
      </c>
      <c r="B177" s="9" t="n">
        <f aca="false">F176</f>
        <v>51388.8888888883</v>
      </c>
      <c r="C177" s="9" t="n">
        <f aca="false">E177+D177</f>
        <v>577.546296296293</v>
      </c>
      <c r="D177" s="9" t="n">
        <f aca="false">B177*Inputs!$C$8</f>
        <v>299.768518518515</v>
      </c>
      <c r="E177" s="9" t="n">
        <f aca="false">Inputs!$C$5/Inputs!$C$9</f>
        <v>277.777777777778</v>
      </c>
      <c r="F177" s="9" t="n">
        <f aca="false">B177-E177</f>
        <v>51111.1111111105</v>
      </c>
    </row>
    <row r="178" customFormat="false" ht="15" hidden="false" customHeight="false" outlineLevel="0" collapsed="false">
      <c r="A178" s="0" t="n">
        <v>177</v>
      </c>
      <c r="B178" s="9" t="n">
        <f aca="false">F177</f>
        <v>51111.1111111105</v>
      </c>
      <c r="C178" s="9" t="n">
        <f aca="false">E178+D178</f>
        <v>575.925925925923</v>
      </c>
      <c r="D178" s="9" t="n">
        <f aca="false">B178*Inputs!$C$8</f>
        <v>298.148148148145</v>
      </c>
      <c r="E178" s="9" t="n">
        <f aca="false">Inputs!$C$5/Inputs!$C$9</f>
        <v>277.777777777778</v>
      </c>
      <c r="F178" s="9" t="n">
        <f aca="false">B178-E178</f>
        <v>50833.3333333328</v>
      </c>
    </row>
    <row r="179" customFormat="false" ht="15" hidden="false" customHeight="false" outlineLevel="0" collapsed="false">
      <c r="A179" s="0" t="n">
        <v>178</v>
      </c>
      <c r="B179" s="9" t="n">
        <f aca="false">F178</f>
        <v>50833.3333333328</v>
      </c>
      <c r="C179" s="9" t="n">
        <f aca="false">E179+D179</f>
        <v>574.305555555552</v>
      </c>
      <c r="D179" s="9" t="n">
        <f aca="false">B179*Inputs!$C$8</f>
        <v>296.527777777775</v>
      </c>
      <c r="E179" s="9" t="n">
        <f aca="false">Inputs!$C$5/Inputs!$C$9</f>
        <v>277.777777777778</v>
      </c>
      <c r="F179" s="9" t="n">
        <f aca="false">B179-E179</f>
        <v>50555.555555555</v>
      </c>
    </row>
    <row r="180" customFormat="false" ht="15" hidden="false" customHeight="false" outlineLevel="0" collapsed="false">
      <c r="A180" s="0" t="n">
        <v>179</v>
      </c>
      <c r="B180" s="9" t="n">
        <f aca="false">F179</f>
        <v>50555.555555555</v>
      </c>
      <c r="C180" s="9" t="n">
        <f aca="false">E180+D180</f>
        <v>572.685185185182</v>
      </c>
      <c r="D180" s="9" t="n">
        <f aca="false">B180*Inputs!$C$8</f>
        <v>294.907407407404</v>
      </c>
      <c r="E180" s="9" t="n">
        <f aca="false">Inputs!$C$5/Inputs!$C$9</f>
        <v>277.777777777778</v>
      </c>
      <c r="F180" s="9" t="n">
        <f aca="false">B180-E180</f>
        <v>50277.7777777772</v>
      </c>
    </row>
    <row r="181" customFormat="false" ht="15" hidden="false" customHeight="false" outlineLevel="0" collapsed="false">
      <c r="A181" s="0" t="n">
        <v>180</v>
      </c>
      <c r="B181" s="9" t="n">
        <f aca="false">F180</f>
        <v>50277.7777777772</v>
      </c>
      <c r="C181" s="9" t="n">
        <f aca="false">E181+D181</f>
        <v>571.064814814811</v>
      </c>
      <c r="D181" s="9" t="n">
        <f aca="false">B181*Inputs!$C$8</f>
        <v>293.287037037034</v>
      </c>
      <c r="E181" s="9" t="n">
        <f aca="false">Inputs!$C$5/Inputs!$C$9</f>
        <v>277.777777777778</v>
      </c>
      <c r="F181" s="9" t="n">
        <f aca="false">B181-E181</f>
        <v>49999.9999999994</v>
      </c>
    </row>
    <row r="182" customFormat="false" ht="15" hidden="false" customHeight="false" outlineLevel="0" collapsed="false">
      <c r="A182" s="0" t="n">
        <v>181</v>
      </c>
      <c r="B182" s="9" t="n">
        <f aca="false">F181</f>
        <v>49999.9999999994</v>
      </c>
      <c r="C182" s="9" t="n">
        <f aca="false">E182+D182</f>
        <v>569.444444444441</v>
      </c>
      <c r="D182" s="9" t="n">
        <f aca="false">B182*Inputs!$C$8</f>
        <v>291.666666666663</v>
      </c>
      <c r="E182" s="9" t="n">
        <f aca="false">Inputs!$C$5/Inputs!$C$9</f>
        <v>277.777777777778</v>
      </c>
      <c r="F182" s="9" t="n">
        <f aca="false">B182-E182</f>
        <v>49722.2222222216</v>
      </c>
    </row>
    <row r="183" customFormat="false" ht="15" hidden="false" customHeight="false" outlineLevel="0" collapsed="false">
      <c r="A183" s="0" t="n">
        <v>182</v>
      </c>
      <c r="B183" s="9" t="n">
        <f aca="false">F182</f>
        <v>49722.2222222216</v>
      </c>
      <c r="C183" s="9" t="n">
        <f aca="false">E183+D183</f>
        <v>567.824074074071</v>
      </c>
      <c r="D183" s="9" t="n">
        <f aca="false">B183*Inputs!$C$8</f>
        <v>290.046296296293</v>
      </c>
      <c r="E183" s="9" t="n">
        <f aca="false">Inputs!$C$5/Inputs!$C$9</f>
        <v>277.777777777778</v>
      </c>
      <c r="F183" s="9" t="n">
        <f aca="false">B183-E183</f>
        <v>49444.4444444439</v>
      </c>
    </row>
    <row r="184" customFormat="false" ht="15" hidden="false" customHeight="false" outlineLevel="0" collapsed="false">
      <c r="A184" s="0" t="n">
        <v>183</v>
      </c>
      <c r="B184" s="9" t="n">
        <f aca="false">F183</f>
        <v>49444.4444444439</v>
      </c>
      <c r="C184" s="9" t="n">
        <f aca="false">E184+D184</f>
        <v>566.2037037037</v>
      </c>
      <c r="D184" s="9" t="n">
        <f aca="false">B184*Inputs!$C$8</f>
        <v>288.425925925923</v>
      </c>
      <c r="E184" s="9" t="n">
        <f aca="false">Inputs!$C$5/Inputs!$C$9</f>
        <v>277.777777777778</v>
      </c>
      <c r="F184" s="9" t="n">
        <f aca="false">B184-E184</f>
        <v>49166.6666666661</v>
      </c>
    </row>
    <row r="185" customFormat="false" ht="15" hidden="false" customHeight="false" outlineLevel="0" collapsed="false">
      <c r="A185" s="0" t="n">
        <v>184</v>
      </c>
      <c r="B185" s="9" t="n">
        <f aca="false">F184</f>
        <v>49166.6666666661</v>
      </c>
      <c r="C185" s="9" t="n">
        <f aca="false">E185+D185</f>
        <v>564.58333333333</v>
      </c>
      <c r="D185" s="9" t="n">
        <f aca="false">B185*Inputs!$C$8</f>
        <v>286.805555555552</v>
      </c>
      <c r="E185" s="9" t="n">
        <f aca="false">Inputs!$C$5/Inputs!$C$9</f>
        <v>277.777777777778</v>
      </c>
      <c r="F185" s="9" t="n">
        <f aca="false">B185-E185</f>
        <v>48888.8888888883</v>
      </c>
    </row>
    <row r="186" customFormat="false" ht="15" hidden="false" customHeight="false" outlineLevel="0" collapsed="false">
      <c r="A186" s="0" t="n">
        <v>185</v>
      </c>
      <c r="B186" s="9" t="n">
        <f aca="false">F185</f>
        <v>48888.8888888883</v>
      </c>
      <c r="C186" s="9" t="n">
        <f aca="false">E186+D186</f>
        <v>562.96296296296</v>
      </c>
      <c r="D186" s="9" t="n">
        <f aca="false">B186*Inputs!$C$8</f>
        <v>285.185185185182</v>
      </c>
      <c r="E186" s="9" t="n">
        <f aca="false">Inputs!$C$5/Inputs!$C$9</f>
        <v>277.777777777778</v>
      </c>
      <c r="F186" s="9" t="n">
        <f aca="false">B186-E186</f>
        <v>48611.1111111105</v>
      </c>
    </row>
    <row r="187" customFormat="false" ht="15" hidden="false" customHeight="false" outlineLevel="0" collapsed="false">
      <c r="A187" s="0" t="n">
        <v>186</v>
      </c>
      <c r="B187" s="9" t="n">
        <f aca="false">F186</f>
        <v>48611.1111111105</v>
      </c>
      <c r="C187" s="9" t="n">
        <f aca="false">E187+D187</f>
        <v>561.342592592589</v>
      </c>
      <c r="D187" s="9" t="n">
        <f aca="false">B187*Inputs!$C$8</f>
        <v>283.564814814811</v>
      </c>
      <c r="E187" s="9" t="n">
        <f aca="false">Inputs!$C$5/Inputs!$C$9</f>
        <v>277.777777777778</v>
      </c>
      <c r="F187" s="9" t="n">
        <f aca="false">B187-E187</f>
        <v>48333.3333333327</v>
      </c>
    </row>
    <row r="188" customFormat="false" ht="15" hidden="false" customHeight="false" outlineLevel="0" collapsed="false">
      <c r="A188" s="0" t="n">
        <v>187</v>
      </c>
      <c r="B188" s="9" t="n">
        <f aca="false">F187</f>
        <v>48333.3333333327</v>
      </c>
      <c r="C188" s="9" t="n">
        <f aca="false">E188+D188</f>
        <v>559.722222222219</v>
      </c>
      <c r="D188" s="9" t="n">
        <f aca="false">B188*Inputs!$C$8</f>
        <v>281.944444444441</v>
      </c>
      <c r="E188" s="9" t="n">
        <f aca="false">Inputs!$C$5/Inputs!$C$9</f>
        <v>277.777777777778</v>
      </c>
      <c r="F188" s="9" t="n">
        <f aca="false">B188-E188</f>
        <v>48055.555555555</v>
      </c>
    </row>
    <row r="189" customFormat="false" ht="15" hidden="false" customHeight="false" outlineLevel="0" collapsed="false">
      <c r="A189" s="0" t="n">
        <v>188</v>
      </c>
      <c r="B189" s="9" t="n">
        <f aca="false">F188</f>
        <v>48055.555555555</v>
      </c>
      <c r="C189" s="9" t="n">
        <f aca="false">E189+D189</f>
        <v>558.101851851848</v>
      </c>
      <c r="D189" s="9" t="n">
        <f aca="false">B189*Inputs!$C$8</f>
        <v>280.324074074071</v>
      </c>
      <c r="E189" s="9" t="n">
        <f aca="false">Inputs!$C$5/Inputs!$C$9</f>
        <v>277.777777777778</v>
      </c>
      <c r="F189" s="9" t="n">
        <f aca="false">B189-E189</f>
        <v>47777.7777777772</v>
      </c>
    </row>
    <row r="190" customFormat="false" ht="15" hidden="false" customHeight="false" outlineLevel="0" collapsed="false">
      <c r="A190" s="0" t="n">
        <v>189</v>
      </c>
      <c r="B190" s="9" t="n">
        <f aca="false">F189</f>
        <v>47777.7777777772</v>
      </c>
      <c r="C190" s="9" t="n">
        <f aca="false">E190+D190</f>
        <v>556.481481481478</v>
      </c>
      <c r="D190" s="9" t="n">
        <f aca="false">B190*Inputs!$C$8</f>
        <v>278.7037037037</v>
      </c>
      <c r="E190" s="9" t="n">
        <f aca="false">Inputs!$C$5/Inputs!$C$9</f>
        <v>277.777777777778</v>
      </c>
      <c r="F190" s="9" t="n">
        <f aca="false">B190-E190</f>
        <v>47499.9999999994</v>
      </c>
    </row>
    <row r="191" customFormat="false" ht="15" hidden="false" customHeight="false" outlineLevel="0" collapsed="false">
      <c r="A191" s="0" t="n">
        <v>190</v>
      </c>
      <c r="B191" s="9" t="n">
        <f aca="false">F190</f>
        <v>47499.9999999994</v>
      </c>
      <c r="C191" s="9" t="n">
        <f aca="false">E191+D191</f>
        <v>554.861111111108</v>
      </c>
      <c r="D191" s="9" t="n">
        <f aca="false">B191*Inputs!$C$8</f>
        <v>277.08333333333</v>
      </c>
      <c r="E191" s="9" t="n">
        <f aca="false">Inputs!$C$5/Inputs!$C$9</f>
        <v>277.777777777778</v>
      </c>
      <c r="F191" s="9" t="n">
        <f aca="false">B191-E191</f>
        <v>47222.2222222216</v>
      </c>
    </row>
    <row r="192" customFormat="false" ht="15" hidden="false" customHeight="false" outlineLevel="0" collapsed="false">
      <c r="A192" s="0" t="n">
        <v>191</v>
      </c>
      <c r="B192" s="9" t="n">
        <f aca="false">F191</f>
        <v>47222.2222222216</v>
      </c>
      <c r="C192" s="9" t="n">
        <f aca="false">E192+D192</f>
        <v>553.240740740737</v>
      </c>
      <c r="D192" s="9" t="n">
        <f aca="false">B192*Inputs!$C$8</f>
        <v>275.462962962959</v>
      </c>
      <c r="E192" s="9" t="n">
        <f aca="false">Inputs!$C$5/Inputs!$C$9</f>
        <v>277.777777777778</v>
      </c>
      <c r="F192" s="9" t="n">
        <f aca="false">B192-E192</f>
        <v>46944.4444444438</v>
      </c>
    </row>
    <row r="193" customFormat="false" ht="15" hidden="false" customHeight="false" outlineLevel="0" collapsed="false">
      <c r="A193" s="0" t="n">
        <v>192</v>
      </c>
      <c r="B193" s="9" t="n">
        <f aca="false">F192</f>
        <v>46944.4444444438</v>
      </c>
      <c r="C193" s="9" t="n">
        <f aca="false">E193+D193</f>
        <v>551.620370370367</v>
      </c>
      <c r="D193" s="9" t="n">
        <f aca="false">B193*Inputs!$C$8</f>
        <v>273.842592592589</v>
      </c>
      <c r="E193" s="9" t="n">
        <f aca="false">Inputs!$C$5/Inputs!$C$9</f>
        <v>277.777777777778</v>
      </c>
      <c r="F193" s="9" t="n">
        <f aca="false">B193-E193</f>
        <v>46666.666666666</v>
      </c>
    </row>
    <row r="194" customFormat="false" ht="15" hidden="false" customHeight="false" outlineLevel="0" collapsed="false">
      <c r="A194" s="0" t="n">
        <v>193</v>
      </c>
      <c r="B194" s="9" t="n">
        <f aca="false">F193</f>
        <v>46666.666666666</v>
      </c>
      <c r="C194" s="9" t="n">
        <f aca="false">E194+D194</f>
        <v>549.999999999996</v>
      </c>
      <c r="D194" s="9" t="n">
        <f aca="false">B194*Inputs!$C$8</f>
        <v>272.222222222219</v>
      </c>
      <c r="E194" s="9" t="n">
        <f aca="false">Inputs!$C$5/Inputs!$C$9</f>
        <v>277.777777777778</v>
      </c>
      <c r="F194" s="9" t="n">
        <f aca="false">B194-E194</f>
        <v>46388.8888888883</v>
      </c>
    </row>
    <row r="195" customFormat="false" ht="15" hidden="false" customHeight="false" outlineLevel="0" collapsed="false">
      <c r="A195" s="0" t="n">
        <v>194</v>
      </c>
      <c r="B195" s="9" t="n">
        <f aca="false">F194</f>
        <v>46388.8888888883</v>
      </c>
      <c r="C195" s="9" t="n">
        <f aca="false">E195+D195</f>
        <v>548.379629629626</v>
      </c>
      <c r="D195" s="9" t="n">
        <f aca="false">B195*Inputs!$C$8</f>
        <v>270.601851851848</v>
      </c>
      <c r="E195" s="9" t="n">
        <f aca="false">Inputs!$C$5/Inputs!$C$9</f>
        <v>277.777777777778</v>
      </c>
      <c r="F195" s="9" t="n">
        <f aca="false">B195-E195</f>
        <v>46111.1111111105</v>
      </c>
    </row>
    <row r="196" customFormat="false" ht="15" hidden="false" customHeight="false" outlineLevel="0" collapsed="false">
      <c r="A196" s="0" t="n">
        <v>195</v>
      </c>
      <c r="B196" s="9" t="n">
        <f aca="false">F195</f>
        <v>46111.1111111105</v>
      </c>
      <c r="C196" s="9" t="n">
        <f aca="false">E196+D196</f>
        <v>546.759259259256</v>
      </c>
      <c r="D196" s="9" t="n">
        <f aca="false">B196*Inputs!$C$8</f>
        <v>268.981481481478</v>
      </c>
      <c r="E196" s="9" t="n">
        <f aca="false">Inputs!$C$5/Inputs!$C$9</f>
        <v>277.777777777778</v>
      </c>
      <c r="F196" s="9" t="n">
        <f aca="false">B196-E196</f>
        <v>45833.3333333327</v>
      </c>
    </row>
    <row r="197" customFormat="false" ht="15" hidden="false" customHeight="false" outlineLevel="0" collapsed="false">
      <c r="A197" s="0" t="n">
        <v>196</v>
      </c>
      <c r="B197" s="9" t="n">
        <f aca="false">F196</f>
        <v>45833.3333333327</v>
      </c>
      <c r="C197" s="9" t="n">
        <f aca="false">E197+D197</f>
        <v>545.138888888885</v>
      </c>
      <c r="D197" s="9" t="n">
        <f aca="false">B197*Inputs!$C$8</f>
        <v>267.361111111107</v>
      </c>
      <c r="E197" s="9" t="n">
        <f aca="false">Inputs!$C$5/Inputs!$C$9</f>
        <v>277.777777777778</v>
      </c>
      <c r="F197" s="9" t="n">
        <f aca="false">B197-E197</f>
        <v>45555.5555555549</v>
      </c>
    </row>
    <row r="198" customFormat="false" ht="15" hidden="false" customHeight="false" outlineLevel="0" collapsed="false">
      <c r="A198" s="0" t="n">
        <v>197</v>
      </c>
      <c r="B198" s="9" t="n">
        <f aca="false">F197</f>
        <v>45555.5555555549</v>
      </c>
      <c r="C198" s="9" t="n">
        <f aca="false">E198+D198</f>
        <v>543.518518518515</v>
      </c>
      <c r="D198" s="9" t="n">
        <f aca="false">B198*Inputs!$C$8</f>
        <v>265.740740740737</v>
      </c>
      <c r="E198" s="9" t="n">
        <f aca="false">Inputs!$C$5/Inputs!$C$9</f>
        <v>277.777777777778</v>
      </c>
      <c r="F198" s="9" t="n">
        <f aca="false">B198-E198</f>
        <v>45277.7777777771</v>
      </c>
    </row>
    <row r="199" customFormat="false" ht="15" hidden="false" customHeight="false" outlineLevel="0" collapsed="false">
      <c r="A199" s="0" t="n">
        <v>198</v>
      </c>
      <c r="B199" s="9" t="n">
        <f aca="false">F198</f>
        <v>45277.7777777771</v>
      </c>
      <c r="C199" s="9" t="n">
        <f aca="false">E199+D199</f>
        <v>541.898148148144</v>
      </c>
      <c r="D199" s="9" t="n">
        <f aca="false">B199*Inputs!$C$8</f>
        <v>264.120370370367</v>
      </c>
      <c r="E199" s="9" t="n">
        <f aca="false">Inputs!$C$5/Inputs!$C$9</f>
        <v>277.777777777778</v>
      </c>
      <c r="F199" s="9" t="n">
        <f aca="false">B199-E199</f>
        <v>44999.9999999994</v>
      </c>
    </row>
    <row r="200" customFormat="false" ht="15" hidden="false" customHeight="false" outlineLevel="0" collapsed="false">
      <c r="A200" s="0" t="n">
        <v>199</v>
      </c>
      <c r="B200" s="9" t="n">
        <f aca="false">F199</f>
        <v>44999.9999999994</v>
      </c>
      <c r="C200" s="9" t="n">
        <f aca="false">E200+D200</f>
        <v>540.277777777774</v>
      </c>
      <c r="D200" s="9" t="n">
        <f aca="false">B200*Inputs!$C$8</f>
        <v>262.499999999996</v>
      </c>
      <c r="E200" s="9" t="n">
        <f aca="false">Inputs!$C$5/Inputs!$C$9</f>
        <v>277.777777777778</v>
      </c>
      <c r="F200" s="9" t="n">
        <f aca="false">B200-E200</f>
        <v>44722.2222222216</v>
      </c>
    </row>
    <row r="201" customFormat="false" ht="15" hidden="false" customHeight="false" outlineLevel="0" collapsed="false">
      <c r="A201" s="0" t="n">
        <v>200</v>
      </c>
      <c r="B201" s="9" t="n">
        <f aca="false">F200</f>
        <v>44722.2222222216</v>
      </c>
      <c r="C201" s="9" t="n">
        <f aca="false">E201+D201</f>
        <v>538.657407407404</v>
      </c>
      <c r="D201" s="9" t="n">
        <f aca="false">B201*Inputs!$C$8</f>
        <v>260.879629629626</v>
      </c>
      <c r="E201" s="9" t="n">
        <f aca="false">Inputs!$C$5/Inputs!$C$9</f>
        <v>277.777777777778</v>
      </c>
      <c r="F201" s="9" t="n">
        <f aca="false">B201-E201</f>
        <v>44444.4444444438</v>
      </c>
    </row>
    <row r="202" customFormat="false" ht="15" hidden="false" customHeight="false" outlineLevel="0" collapsed="false">
      <c r="A202" s="0" t="n">
        <v>201</v>
      </c>
      <c r="B202" s="9" t="n">
        <f aca="false">F201</f>
        <v>44444.4444444438</v>
      </c>
      <c r="C202" s="9" t="n">
        <f aca="false">E202+D202</f>
        <v>537.037037037033</v>
      </c>
      <c r="D202" s="9" t="n">
        <f aca="false">B202*Inputs!$C$8</f>
        <v>259.259259259256</v>
      </c>
      <c r="E202" s="9" t="n">
        <f aca="false">Inputs!$C$5/Inputs!$C$9</f>
        <v>277.777777777778</v>
      </c>
      <c r="F202" s="9" t="n">
        <f aca="false">B202-E202</f>
        <v>44166.666666666</v>
      </c>
    </row>
    <row r="203" customFormat="false" ht="15" hidden="false" customHeight="false" outlineLevel="0" collapsed="false">
      <c r="A203" s="0" t="n">
        <v>202</v>
      </c>
      <c r="B203" s="9" t="n">
        <f aca="false">F202</f>
        <v>44166.666666666</v>
      </c>
      <c r="C203" s="9" t="n">
        <f aca="false">E203+D203</f>
        <v>535.416666666663</v>
      </c>
      <c r="D203" s="9" t="n">
        <f aca="false">B203*Inputs!$C$8</f>
        <v>257.638888888885</v>
      </c>
      <c r="E203" s="9" t="n">
        <f aca="false">Inputs!$C$5/Inputs!$C$9</f>
        <v>277.777777777778</v>
      </c>
      <c r="F203" s="9" t="n">
        <f aca="false">B203-E203</f>
        <v>43888.8888888882</v>
      </c>
    </row>
    <row r="204" customFormat="false" ht="15" hidden="false" customHeight="false" outlineLevel="0" collapsed="false">
      <c r="A204" s="0" t="n">
        <v>203</v>
      </c>
      <c r="B204" s="9" t="n">
        <f aca="false">F203</f>
        <v>43888.8888888882</v>
      </c>
      <c r="C204" s="9" t="n">
        <f aca="false">E204+D204</f>
        <v>533.796296296292</v>
      </c>
      <c r="D204" s="9" t="n">
        <f aca="false">B204*Inputs!$C$8</f>
        <v>256.018518518515</v>
      </c>
      <c r="E204" s="9" t="n">
        <f aca="false">Inputs!$C$5/Inputs!$C$9</f>
        <v>277.777777777778</v>
      </c>
      <c r="F204" s="9" t="n">
        <f aca="false">B204-E204</f>
        <v>43611.1111111105</v>
      </c>
    </row>
    <row r="205" customFormat="false" ht="15" hidden="false" customHeight="false" outlineLevel="0" collapsed="false">
      <c r="A205" s="0" t="n">
        <v>204</v>
      </c>
      <c r="B205" s="9" t="n">
        <f aca="false">F204</f>
        <v>43611.1111111105</v>
      </c>
      <c r="C205" s="9" t="n">
        <f aca="false">E205+D205</f>
        <v>532.175925925922</v>
      </c>
      <c r="D205" s="9" t="n">
        <f aca="false">B205*Inputs!$C$8</f>
        <v>254.398148148144</v>
      </c>
      <c r="E205" s="9" t="n">
        <f aca="false">Inputs!$C$5/Inputs!$C$9</f>
        <v>277.777777777778</v>
      </c>
      <c r="F205" s="9" t="n">
        <f aca="false">B205-E205</f>
        <v>43333.3333333327</v>
      </c>
    </row>
    <row r="206" customFormat="false" ht="15" hidden="false" customHeight="false" outlineLevel="0" collapsed="false">
      <c r="A206" s="0" t="n">
        <v>205</v>
      </c>
      <c r="B206" s="9" t="n">
        <f aca="false">F205</f>
        <v>43333.3333333327</v>
      </c>
      <c r="C206" s="9" t="n">
        <f aca="false">E206+D206</f>
        <v>530.555555555552</v>
      </c>
      <c r="D206" s="9" t="n">
        <f aca="false">B206*Inputs!$C$8</f>
        <v>252.777777777774</v>
      </c>
      <c r="E206" s="9" t="n">
        <f aca="false">Inputs!$C$5/Inputs!$C$9</f>
        <v>277.777777777778</v>
      </c>
      <c r="F206" s="9" t="n">
        <f aca="false">B206-E206</f>
        <v>43055.5555555549</v>
      </c>
    </row>
    <row r="207" customFormat="false" ht="15" hidden="false" customHeight="false" outlineLevel="0" collapsed="false">
      <c r="A207" s="0" t="n">
        <v>206</v>
      </c>
      <c r="B207" s="9" t="n">
        <f aca="false">F206</f>
        <v>43055.5555555549</v>
      </c>
      <c r="C207" s="9" t="n">
        <f aca="false">E207+D207</f>
        <v>528.935185185181</v>
      </c>
      <c r="D207" s="9" t="n">
        <f aca="false">B207*Inputs!$C$8</f>
        <v>251.157407407404</v>
      </c>
      <c r="E207" s="9" t="n">
        <f aca="false">Inputs!$C$5/Inputs!$C$9</f>
        <v>277.777777777778</v>
      </c>
      <c r="F207" s="9" t="n">
        <f aca="false">B207-E207</f>
        <v>42777.7777777771</v>
      </c>
    </row>
    <row r="208" customFormat="false" ht="15" hidden="false" customHeight="false" outlineLevel="0" collapsed="false">
      <c r="A208" s="0" t="n">
        <v>207</v>
      </c>
      <c r="B208" s="9" t="n">
        <f aca="false">F207</f>
        <v>42777.7777777771</v>
      </c>
      <c r="C208" s="9" t="n">
        <f aca="false">E208+D208</f>
        <v>527.314814814811</v>
      </c>
      <c r="D208" s="9" t="n">
        <f aca="false">B208*Inputs!$C$8</f>
        <v>249.537037037033</v>
      </c>
      <c r="E208" s="9" t="n">
        <f aca="false">Inputs!$C$5/Inputs!$C$9</f>
        <v>277.777777777778</v>
      </c>
      <c r="F208" s="9" t="n">
        <f aca="false">B208-E208</f>
        <v>42499.9999999993</v>
      </c>
    </row>
    <row r="209" customFormat="false" ht="15" hidden="false" customHeight="false" outlineLevel="0" collapsed="false">
      <c r="A209" s="0" t="n">
        <v>208</v>
      </c>
      <c r="B209" s="9" t="n">
        <f aca="false">F208</f>
        <v>42499.9999999993</v>
      </c>
      <c r="C209" s="9" t="n">
        <f aca="false">E209+D209</f>
        <v>525.694444444441</v>
      </c>
      <c r="D209" s="9" t="n">
        <f aca="false">B209*Inputs!$C$8</f>
        <v>247.916666666663</v>
      </c>
      <c r="E209" s="9" t="n">
        <f aca="false">Inputs!$C$5/Inputs!$C$9</f>
        <v>277.777777777778</v>
      </c>
      <c r="F209" s="9" t="n">
        <f aca="false">B209-E209</f>
        <v>42222.2222222216</v>
      </c>
    </row>
    <row r="210" customFormat="false" ht="15" hidden="false" customHeight="false" outlineLevel="0" collapsed="false">
      <c r="A210" s="0" t="n">
        <v>209</v>
      </c>
      <c r="B210" s="9" t="n">
        <f aca="false">F209</f>
        <v>42222.2222222216</v>
      </c>
      <c r="C210" s="9" t="n">
        <f aca="false">E210+D210</f>
        <v>524.07407407407</v>
      </c>
      <c r="D210" s="9" t="n">
        <f aca="false">B210*Inputs!$C$8</f>
        <v>246.296296296292</v>
      </c>
      <c r="E210" s="9" t="n">
        <f aca="false">Inputs!$C$5/Inputs!$C$9</f>
        <v>277.777777777778</v>
      </c>
      <c r="F210" s="9" t="n">
        <f aca="false">B210-E210</f>
        <v>41944.4444444438</v>
      </c>
    </row>
    <row r="211" customFormat="false" ht="15" hidden="false" customHeight="false" outlineLevel="0" collapsed="false">
      <c r="A211" s="0" t="n">
        <v>210</v>
      </c>
      <c r="B211" s="9" t="n">
        <f aca="false">F210</f>
        <v>41944.4444444438</v>
      </c>
      <c r="C211" s="9" t="n">
        <f aca="false">E211+D211</f>
        <v>522.4537037037</v>
      </c>
      <c r="D211" s="9" t="n">
        <f aca="false">B211*Inputs!$C$8</f>
        <v>244.675925925922</v>
      </c>
      <c r="E211" s="9" t="n">
        <f aca="false">Inputs!$C$5/Inputs!$C$9</f>
        <v>277.777777777778</v>
      </c>
      <c r="F211" s="9" t="n">
        <f aca="false">B211-E211</f>
        <v>41666.666666666</v>
      </c>
    </row>
    <row r="212" customFormat="false" ht="15" hidden="false" customHeight="false" outlineLevel="0" collapsed="false">
      <c r="A212" s="0" t="n">
        <v>211</v>
      </c>
      <c r="B212" s="9" t="n">
        <f aca="false">F211</f>
        <v>41666.666666666</v>
      </c>
      <c r="C212" s="9" t="n">
        <f aca="false">E212+D212</f>
        <v>520.833333333329</v>
      </c>
      <c r="D212" s="9" t="n">
        <f aca="false">B212*Inputs!$C$8</f>
        <v>243.055555555552</v>
      </c>
      <c r="E212" s="9" t="n">
        <f aca="false">Inputs!$C$5/Inputs!$C$9</f>
        <v>277.777777777778</v>
      </c>
      <c r="F212" s="9" t="n">
        <f aca="false">B212-E212</f>
        <v>41388.8888888882</v>
      </c>
    </row>
    <row r="213" customFormat="false" ht="15" hidden="false" customHeight="false" outlineLevel="0" collapsed="false">
      <c r="A213" s="0" t="n">
        <v>212</v>
      </c>
      <c r="B213" s="9" t="n">
        <f aca="false">F212</f>
        <v>41388.8888888882</v>
      </c>
      <c r="C213" s="9" t="n">
        <f aca="false">E213+D213</f>
        <v>519.212962962959</v>
      </c>
      <c r="D213" s="9" t="n">
        <f aca="false">B213*Inputs!$C$8</f>
        <v>241.435185185181</v>
      </c>
      <c r="E213" s="9" t="n">
        <f aca="false">Inputs!$C$5/Inputs!$C$9</f>
        <v>277.777777777778</v>
      </c>
      <c r="F213" s="9" t="n">
        <f aca="false">B213-E213</f>
        <v>41111.1111111104</v>
      </c>
    </row>
    <row r="214" customFormat="false" ht="15" hidden="false" customHeight="false" outlineLevel="0" collapsed="false">
      <c r="A214" s="0" t="n">
        <v>213</v>
      </c>
      <c r="B214" s="9" t="n">
        <f aca="false">F213</f>
        <v>41111.1111111104</v>
      </c>
      <c r="C214" s="9" t="n">
        <f aca="false">E214+D214</f>
        <v>517.592592592589</v>
      </c>
      <c r="D214" s="9" t="n">
        <f aca="false">B214*Inputs!$C$8</f>
        <v>239.814814814811</v>
      </c>
      <c r="E214" s="9" t="n">
        <f aca="false">Inputs!$C$5/Inputs!$C$9</f>
        <v>277.777777777778</v>
      </c>
      <c r="F214" s="9" t="n">
        <f aca="false">B214-E214</f>
        <v>40833.3333333326</v>
      </c>
    </row>
    <row r="215" customFormat="false" ht="15" hidden="false" customHeight="false" outlineLevel="0" collapsed="false">
      <c r="A215" s="0" t="n">
        <v>214</v>
      </c>
      <c r="B215" s="9" t="n">
        <f aca="false">F214</f>
        <v>40833.3333333326</v>
      </c>
      <c r="C215" s="9" t="n">
        <f aca="false">E215+D215</f>
        <v>515.972222222218</v>
      </c>
      <c r="D215" s="9" t="n">
        <f aca="false">B215*Inputs!$C$8</f>
        <v>238.19444444444</v>
      </c>
      <c r="E215" s="9" t="n">
        <f aca="false">Inputs!$C$5/Inputs!$C$9</f>
        <v>277.777777777778</v>
      </c>
      <c r="F215" s="9" t="n">
        <f aca="false">B215-E215</f>
        <v>40555.5555555549</v>
      </c>
    </row>
    <row r="216" customFormat="false" ht="15" hidden="false" customHeight="false" outlineLevel="0" collapsed="false">
      <c r="A216" s="0" t="n">
        <v>215</v>
      </c>
      <c r="B216" s="9" t="n">
        <f aca="false">F215</f>
        <v>40555.5555555549</v>
      </c>
      <c r="C216" s="9" t="n">
        <f aca="false">E216+D216</f>
        <v>514.351851851848</v>
      </c>
      <c r="D216" s="9" t="n">
        <f aca="false">B216*Inputs!$C$8</f>
        <v>236.57407407407</v>
      </c>
      <c r="E216" s="9" t="n">
        <f aca="false">Inputs!$C$5/Inputs!$C$9</f>
        <v>277.777777777778</v>
      </c>
      <c r="F216" s="9" t="n">
        <f aca="false">B216-E216</f>
        <v>40277.7777777771</v>
      </c>
    </row>
    <row r="217" customFormat="false" ht="15" hidden="false" customHeight="false" outlineLevel="0" collapsed="false">
      <c r="A217" s="0" t="n">
        <v>216</v>
      </c>
      <c r="B217" s="9" t="n">
        <f aca="false">F216</f>
        <v>40277.7777777771</v>
      </c>
      <c r="C217" s="9" t="n">
        <f aca="false">E217+D217</f>
        <v>512.731481481477</v>
      </c>
      <c r="D217" s="9" t="n">
        <f aca="false">B217*Inputs!$C$8</f>
        <v>234.9537037037</v>
      </c>
      <c r="E217" s="9" t="n">
        <f aca="false">Inputs!$C$5/Inputs!$C$9</f>
        <v>277.777777777778</v>
      </c>
      <c r="F217" s="9" t="n">
        <f aca="false">B217-E217</f>
        <v>39999.9999999993</v>
      </c>
    </row>
    <row r="218" customFormat="false" ht="15" hidden="false" customHeight="false" outlineLevel="0" collapsed="false">
      <c r="A218" s="0" t="n">
        <v>217</v>
      </c>
      <c r="B218" s="9" t="n">
        <f aca="false">F217</f>
        <v>39999.9999999993</v>
      </c>
      <c r="C218" s="9" t="n">
        <f aca="false">E218+D218</f>
        <v>511.111111111107</v>
      </c>
      <c r="D218" s="9" t="n">
        <f aca="false">B218*Inputs!$C$8</f>
        <v>233.333333333329</v>
      </c>
      <c r="E218" s="9" t="n">
        <f aca="false">Inputs!$C$5/Inputs!$C$9</f>
        <v>277.777777777778</v>
      </c>
      <c r="F218" s="9" t="n">
        <f aca="false">B218-E218</f>
        <v>39722.2222222215</v>
      </c>
    </row>
    <row r="219" customFormat="false" ht="15" hidden="false" customHeight="false" outlineLevel="0" collapsed="false">
      <c r="A219" s="0" t="n">
        <v>218</v>
      </c>
      <c r="B219" s="9" t="n">
        <f aca="false">F218</f>
        <v>39722.2222222215</v>
      </c>
      <c r="C219" s="9" t="n">
        <f aca="false">E219+D219</f>
        <v>509.490740740737</v>
      </c>
      <c r="D219" s="9" t="n">
        <f aca="false">B219*Inputs!$C$8</f>
        <v>231.712962962959</v>
      </c>
      <c r="E219" s="9" t="n">
        <f aca="false">Inputs!$C$5/Inputs!$C$9</f>
        <v>277.777777777778</v>
      </c>
      <c r="F219" s="9" t="n">
        <f aca="false">B219-E219</f>
        <v>39444.4444444437</v>
      </c>
    </row>
    <row r="220" customFormat="false" ht="15" hidden="false" customHeight="false" outlineLevel="0" collapsed="false">
      <c r="A220" s="0" t="n">
        <v>219</v>
      </c>
      <c r="B220" s="9" t="n">
        <f aca="false">F219</f>
        <v>39444.4444444437</v>
      </c>
      <c r="C220" s="9" t="n">
        <f aca="false">E220+D220</f>
        <v>507.870370370366</v>
      </c>
      <c r="D220" s="9" t="n">
        <f aca="false">B220*Inputs!$C$8</f>
        <v>230.092592592589</v>
      </c>
      <c r="E220" s="9" t="n">
        <f aca="false">Inputs!$C$5/Inputs!$C$9</f>
        <v>277.777777777778</v>
      </c>
      <c r="F220" s="9" t="n">
        <f aca="false">B220-E220</f>
        <v>39166.666666666</v>
      </c>
    </row>
    <row r="221" customFormat="false" ht="15" hidden="false" customHeight="false" outlineLevel="0" collapsed="false">
      <c r="A221" s="0" t="n">
        <v>220</v>
      </c>
      <c r="B221" s="9" t="n">
        <f aca="false">F220</f>
        <v>39166.666666666</v>
      </c>
      <c r="C221" s="9" t="n">
        <f aca="false">E221+D221</f>
        <v>506.249999999996</v>
      </c>
      <c r="D221" s="9" t="n">
        <f aca="false">B221*Inputs!$C$8</f>
        <v>228.472222222218</v>
      </c>
      <c r="E221" s="9" t="n">
        <f aca="false">Inputs!$C$5/Inputs!$C$9</f>
        <v>277.777777777778</v>
      </c>
      <c r="F221" s="9" t="n">
        <f aca="false">B221-E221</f>
        <v>38888.8888888882</v>
      </c>
    </row>
    <row r="222" customFormat="false" ht="15" hidden="false" customHeight="false" outlineLevel="0" collapsed="false">
      <c r="A222" s="0" t="n">
        <v>221</v>
      </c>
      <c r="B222" s="9" t="n">
        <f aca="false">F221</f>
        <v>38888.8888888882</v>
      </c>
      <c r="C222" s="9" t="n">
        <f aca="false">E222+D222</f>
        <v>504.629629629625</v>
      </c>
      <c r="D222" s="9" t="n">
        <f aca="false">B222*Inputs!$C$8</f>
        <v>226.851851851848</v>
      </c>
      <c r="E222" s="9" t="n">
        <f aca="false">Inputs!$C$5/Inputs!$C$9</f>
        <v>277.777777777778</v>
      </c>
      <c r="F222" s="9" t="n">
        <f aca="false">B222-E222</f>
        <v>38611.1111111104</v>
      </c>
    </row>
    <row r="223" customFormat="false" ht="15" hidden="false" customHeight="false" outlineLevel="0" collapsed="false">
      <c r="A223" s="0" t="n">
        <v>222</v>
      </c>
      <c r="B223" s="9" t="n">
        <f aca="false">F222</f>
        <v>38611.1111111104</v>
      </c>
      <c r="C223" s="9" t="n">
        <f aca="false">E223+D223</f>
        <v>503.009259259255</v>
      </c>
      <c r="D223" s="9" t="n">
        <f aca="false">B223*Inputs!$C$8</f>
        <v>225.231481481477</v>
      </c>
      <c r="E223" s="9" t="n">
        <f aca="false">Inputs!$C$5/Inputs!$C$9</f>
        <v>277.777777777778</v>
      </c>
      <c r="F223" s="9" t="n">
        <f aca="false">B223-E223</f>
        <v>38333.3333333326</v>
      </c>
    </row>
    <row r="224" customFormat="false" ht="15" hidden="false" customHeight="false" outlineLevel="0" collapsed="false">
      <c r="A224" s="0" t="n">
        <v>223</v>
      </c>
      <c r="B224" s="9" t="n">
        <f aca="false">F223</f>
        <v>38333.3333333326</v>
      </c>
      <c r="C224" s="9" t="n">
        <f aca="false">E224+D224</f>
        <v>501.388888888885</v>
      </c>
      <c r="D224" s="9" t="n">
        <f aca="false">B224*Inputs!$C$8</f>
        <v>223.611111111107</v>
      </c>
      <c r="E224" s="9" t="n">
        <f aca="false">Inputs!$C$5/Inputs!$C$9</f>
        <v>277.777777777778</v>
      </c>
      <c r="F224" s="9" t="n">
        <f aca="false">B224-E224</f>
        <v>38055.5555555548</v>
      </c>
    </row>
    <row r="225" customFormat="false" ht="15" hidden="false" customHeight="false" outlineLevel="0" collapsed="false">
      <c r="A225" s="0" t="n">
        <v>224</v>
      </c>
      <c r="B225" s="9" t="n">
        <f aca="false">F224</f>
        <v>38055.5555555548</v>
      </c>
      <c r="C225" s="9" t="n">
        <f aca="false">E225+D225</f>
        <v>499.768518518514</v>
      </c>
      <c r="D225" s="9" t="n">
        <f aca="false">B225*Inputs!$C$8</f>
        <v>221.990740740737</v>
      </c>
      <c r="E225" s="9" t="n">
        <f aca="false">Inputs!$C$5/Inputs!$C$9</f>
        <v>277.777777777778</v>
      </c>
      <c r="F225" s="9" t="n">
        <f aca="false">B225-E225</f>
        <v>37777.7777777771</v>
      </c>
    </row>
    <row r="226" customFormat="false" ht="15" hidden="false" customHeight="false" outlineLevel="0" collapsed="false">
      <c r="A226" s="0" t="n">
        <v>225</v>
      </c>
      <c r="B226" s="9" t="n">
        <f aca="false">F225</f>
        <v>37777.7777777771</v>
      </c>
      <c r="C226" s="9" t="n">
        <f aca="false">E226+D226</f>
        <v>498.148148148144</v>
      </c>
      <c r="D226" s="9" t="n">
        <f aca="false">B226*Inputs!$C$8</f>
        <v>220.370370370366</v>
      </c>
      <c r="E226" s="9" t="n">
        <f aca="false">Inputs!$C$5/Inputs!$C$9</f>
        <v>277.777777777778</v>
      </c>
      <c r="F226" s="9" t="n">
        <f aca="false">B226-E226</f>
        <v>37499.9999999993</v>
      </c>
    </row>
    <row r="227" customFormat="false" ht="15" hidden="false" customHeight="false" outlineLevel="0" collapsed="false">
      <c r="A227" s="0" t="n">
        <v>226</v>
      </c>
      <c r="B227" s="9" t="n">
        <f aca="false">F226</f>
        <v>37499.9999999993</v>
      </c>
      <c r="C227" s="9" t="n">
        <f aca="false">E227+D227</f>
        <v>496.527777777774</v>
      </c>
      <c r="D227" s="9" t="n">
        <f aca="false">B227*Inputs!$C$8</f>
        <v>218.749999999996</v>
      </c>
      <c r="E227" s="9" t="n">
        <f aca="false">Inputs!$C$5/Inputs!$C$9</f>
        <v>277.777777777778</v>
      </c>
      <c r="F227" s="9" t="n">
        <f aca="false">B227-E227</f>
        <v>37222.2222222215</v>
      </c>
    </row>
    <row r="228" customFormat="false" ht="15" hidden="false" customHeight="false" outlineLevel="0" collapsed="false">
      <c r="A228" s="0" t="n">
        <v>227</v>
      </c>
      <c r="B228" s="9" t="n">
        <f aca="false">F227</f>
        <v>37222.2222222215</v>
      </c>
      <c r="C228" s="9" t="n">
        <f aca="false">E228+D228</f>
        <v>494.907407407403</v>
      </c>
      <c r="D228" s="9" t="n">
        <f aca="false">B228*Inputs!$C$8</f>
        <v>217.129629629625</v>
      </c>
      <c r="E228" s="9" t="n">
        <f aca="false">Inputs!$C$5/Inputs!$C$9</f>
        <v>277.777777777778</v>
      </c>
      <c r="F228" s="9" t="n">
        <f aca="false">B228-E228</f>
        <v>36944.4444444437</v>
      </c>
    </row>
    <row r="229" customFormat="false" ht="15" hidden="false" customHeight="false" outlineLevel="0" collapsed="false">
      <c r="A229" s="0" t="n">
        <v>228</v>
      </c>
      <c r="B229" s="9" t="n">
        <f aca="false">F228</f>
        <v>36944.4444444437</v>
      </c>
      <c r="C229" s="9" t="n">
        <f aca="false">E229+D229</f>
        <v>493.287037037033</v>
      </c>
      <c r="D229" s="9" t="n">
        <f aca="false">B229*Inputs!$C$8</f>
        <v>215.509259259255</v>
      </c>
      <c r="E229" s="9" t="n">
        <f aca="false">Inputs!$C$5/Inputs!$C$9</f>
        <v>277.777777777778</v>
      </c>
      <c r="F229" s="9" t="n">
        <f aca="false">B229-E229</f>
        <v>36666.6666666659</v>
      </c>
    </row>
    <row r="230" customFormat="false" ht="15" hidden="false" customHeight="false" outlineLevel="0" collapsed="false">
      <c r="A230" s="0" t="n">
        <v>229</v>
      </c>
      <c r="B230" s="9" t="n">
        <f aca="false">F229</f>
        <v>36666.6666666659</v>
      </c>
      <c r="C230" s="9" t="n">
        <f aca="false">E230+D230</f>
        <v>491.666666666662</v>
      </c>
      <c r="D230" s="9" t="n">
        <f aca="false">B230*Inputs!$C$8</f>
        <v>213.888888888885</v>
      </c>
      <c r="E230" s="9" t="n">
        <f aca="false">Inputs!$C$5/Inputs!$C$9</f>
        <v>277.777777777778</v>
      </c>
      <c r="F230" s="9" t="n">
        <f aca="false">B230-E230</f>
        <v>36388.8888888882</v>
      </c>
    </row>
    <row r="231" customFormat="false" ht="15" hidden="false" customHeight="false" outlineLevel="0" collapsed="false">
      <c r="A231" s="0" t="n">
        <v>230</v>
      </c>
      <c r="B231" s="9" t="n">
        <f aca="false">F230</f>
        <v>36388.8888888882</v>
      </c>
      <c r="C231" s="9" t="n">
        <f aca="false">E231+D231</f>
        <v>490.046296296292</v>
      </c>
      <c r="D231" s="9" t="n">
        <f aca="false">B231*Inputs!$C$8</f>
        <v>212.268518518514</v>
      </c>
      <c r="E231" s="9" t="n">
        <f aca="false">Inputs!$C$5/Inputs!$C$9</f>
        <v>277.777777777778</v>
      </c>
      <c r="F231" s="9" t="n">
        <f aca="false">B231-E231</f>
        <v>36111.1111111104</v>
      </c>
    </row>
    <row r="232" customFormat="false" ht="15" hidden="false" customHeight="false" outlineLevel="0" collapsed="false">
      <c r="A232" s="0" t="n">
        <v>231</v>
      </c>
      <c r="B232" s="9" t="n">
        <f aca="false">F231</f>
        <v>36111.1111111104</v>
      </c>
      <c r="C232" s="9" t="n">
        <f aca="false">E232+D232</f>
        <v>488.425925925922</v>
      </c>
      <c r="D232" s="9" t="n">
        <f aca="false">B232*Inputs!$C$8</f>
        <v>210.648148148144</v>
      </c>
      <c r="E232" s="9" t="n">
        <f aca="false">Inputs!$C$5/Inputs!$C$9</f>
        <v>277.777777777778</v>
      </c>
      <c r="F232" s="9" t="n">
        <f aca="false">B232-E232</f>
        <v>35833.3333333326</v>
      </c>
    </row>
    <row r="233" customFormat="false" ht="15" hidden="false" customHeight="false" outlineLevel="0" collapsed="false">
      <c r="A233" s="0" t="n">
        <v>232</v>
      </c>
      <c r="B233" s="9" t="n">
        <f aca="false">F232</f>
        <v>35833.3333333326</v>
      </c>
      <c r="C233" s="9" t="n">
        <f aca="false">E233+D233</f>
        <v>486.805555555551</v>
      </c>
      <c r="D233" s="9" t="n">
        <f aca="false">B233*Inputs!$C$8</f>
        <v>209.027777777773</v>
      </c>
      <c r="E233" s="9" t="n">
        <f aca="false">Inputs!$C$5/Inputs!$C$9</f>
        <v>277.777777777778</v>
      </c>
      <c r="F233" s="9" t="n">
        <f aca="false">B233-E233</f>
        <v>35555.5555555548</v>
      </c>
    </row>
    <row r="234" customFormat="false" ht="15" hidden="false" customHeight="false" outlineLevel="0" collapsed="false">
      <c r="A234" s="0" t="n">
        <v>233</v>
      </c>
      <c r="B234" s="9" t="n">
        <f aca="false">F233</f>
        <v>35555.5555555548</v>
      </c>
      <c r="C234" s="9" t="n">
        <f aca="false">E234+D234</f>
        <v>485.185185185181</v>
      </c>
      <c r="D234" s="9" t="n">
        <f aca="false">B234*Inputs!$C$8</f>
        <v>207.407407407403</v>
      </c>
      <c r="E234" s="9" t="n">
        <f aca="false">Inputs!$C$5/Inputs!$C$9</f>
        <v>277.777777777778</v>
      </c>
      <c r="F234" s="9" t="n">
        <f aca="false">B234-E234</f>
        <v>35277.777777777</v>
      </c>
    </row>
    <row r="235" customFormat="false" ht="15" hidden="false" customHeight="false" outlineLevel="0" collapsed="false">
      <c r="A235" s="0" t="n">
        <v>234</v>
      </c>
      <c r="B235" s="9" t="n">
        <f aca="false">F234</f>
        <v>35277.777777777</v>
      </c>
      <c r="C235" s="9" t="n">
        <f aca="false">E235+D235</f>
        <v>483.56481481481</v>
      </c>
      <c r="D235" s="9" t="n">
        <f aca="false">B235*Inputs!$C$8</f>
        <v>205.787037037033</v>
      </c>
      <c r="E235" s="9" t="n">
        <f aca="false">Inputs!$C$5/Inputs!$C$9</f>
        <v>277.777777777778</v>
      </c>
      <c r="F235" s="9" t="n">
        <f aca="false">B235-E235</f>
        <v>34999.9999999992</v>
      </c>
    </row>
    <row r="236" customFormat="false" ht="15" hidden="false" customHeight="false" outlineLevel="0" collapsed="false">
      <c r="A236" s="0" t="n">
        <v>235</v>
      </c>
      <c r="B236" s="9" t="n">
        <f aca="false">F235</f>
        <v>34999.9999999992</v>
      </c>
      <c r="C236" s="9" t="n">
        <f aca="false">E236+D236</f>
        <v>481.94444444444</v>
      </c>
      <c r="D236" s="9" t="n">
        <f aca="false">B236*Inputs!$C$8</f>
        <v>204.166666666662</v>
      </c>
      <c r="E236" s="9" t="n">
        <f aca="false">Inputs!$C$5/Inputs!$C$9</f>
        <v>277.777777777778</v>
      </c>
      <c r="F236" s="9" t="n">
        <f aca="false">B236-E236</f>
        <v>34722.2222222215</v>
      </c>
    </row>
    <row r="237" customFormat="false" ht="15" hidden="false" customHeight="false" outlineLevel="0" collapsed="false">
      <c r="A237" s="0" t="n">
        <v>236</v>
      </c>
      <c r="B237" s="9" t="n">
        <f aca="false">F236</f>
        <v>34722.2222222215</v>
      </c>
      <c r="C237" s="9" t="n">
        <f aca="false">E237+D237</f>
        <v>480.32407407407</v>
      </c>
      <c r="D237" s="9" t="n">
        <f aca="false">B237*Inputs!$C$8</f>
        <v>202.546296296292</v>
      </c>
      <c r="E237" s="9" t="n">
        <f aca="false">Inputs!$C$5/Inputs!$C$9</f>
        <v>277.777777777778</v>
      </c>
      <c r="F237" s="9" t="n">
        <f aca="false">B237-E237</f>
        <v>34444.4444444437</v>
      </c>
    </row>
    <row r="238" customFormat="false" ht="15" hidden="false" customHeight="false" outlineLevel="0" collapsed="false">
      <c r="A238" s="0" t="n">
        <v>237</v>
      </c>
      <c r="B238" s="9" t="n">
        <f aca="false">F237</f>
        <v>34444.4444444437</v>
      </c>
      <c r="C238" s="9" t="n">
        <f aca="false">E238+D238</f>
        <v>478.703703703699</v>
      </c>
      <c r="D238" s="9" t="n">
        <f aca="false">B238*Inputs!$C$8</f>
        <v>200.925925925922</v>
      </c>
      <c r="E238" s="9" t="n">
        <f aca="false">Inputs!$C$5/Inputs!$C$9</f>
        <v>277.777777777778</v>
      </c>
      <c r="F238" s="9" t="n">
        <f aca="false">B238-E238</f>
        <v>34166.6666666659</v>
      </c>
    </row>
    <row r="239" customFormat="false" ht="15" hidden="false" customHeight="false" outlineLevel="0" collapsed="false">
      <c r="A239" s="0" t="n">
        <v>238</v>
      </c>
      <c r="B239" s="9" t="n">
        <f aca="false">F238</f>
        <v>34166.6666666659</v>
      </c>
      <c r="C239" s="9" t="n">
        <f aca="false">E239+D239</f>
        <v>477.083333333329</v>
      </c>
      <c r="D239" s="9" t="n">
        <f aca="false">B239*Inputs!$C$8</f>
        <v>199.305555555551</v>
      </c>
      <c r="E239" s="9" t="n">
        <f aca="false">Inputs!$C$5/Inputs!$C$9</f>
        <v>277.777777777778</v>
      </c>
      <c r="F239" s="9" t="n">
        <f aca="false">B239-E239</f>
        <v>33888.8888888881</v>
      </c>
    </row>
    <row r="240" customFormat="false" ht="15" hidden="false" customHeight="false" outlineLevel="0" collapsed="false">
      <c r="A240" s="0" t="n">
        <v>239</v>
      </c>
      <c r="B240" s="9" t="n">
        <f aca="false">F239</f>
        <v>33888.8888888881</v>
      </c>
      <c r="C240" s="9" t="n">
        <f aca="false">E240+D240</f>
        <v>475.462962962959</v>
      </c>
      <c r="D240" s="9" t="n">
        <f aca="false">B240*Inputs!$C$8</f>
        <v>197.685185185181</v>
      </c>
      <c r="E240" s="9" t="n">
        <f aca="false">Inputs!$C$5/Inputs!$C$9</f>
        <v>277.777777777778</v>
      </c>
      <c r="F240" s="9" t="n">
        <f aca="false">B240-E240</f>
        <v>33611.1111111103</v>
      </c>
    </row>
    <row r="241" customFormat="false" ht="15" hidden="false" customHeight="false" outlineLevel="0" collapsed="false">
      <c r="A241" s="0" t="n">
        <v>240</v>
      </c>
      <c r="B241" s="9" t="n">
        <f aca="false">F240</f>
        <v>33611.1111111103</v>
      </c>
      <c r="C241" s="9" t="n">
        <f aca="false">E241+D241</f>
        <v>473.842592592588</v>
      </c>
      <c r="D241" s="9" t="n">
        <f aca="false">B241*Inputs!$C$8</f>
        <v>196.06481481481</v>
      </c>
      <c r="E241" s="9" t="n">
        <f aca="false">Inputs!$C$5/Inputs!$C$9</f>
        <v>277.777777777778</v>
      </c>
      <c r="F241" s="9" t="n">
        <f aca="false">B241-E241</f>
        <v>33333.3333333326</v>
      </c>
    </row>
    <row r="242" customFormat="false" ht="15" hidden="false" customHeight="false" outlineLevel="0" collapsed="false">
      <c r="A242" s="0" t="n">
        <v>241</v>
      </c>
      <c r="B242" s="9" t="n">
        <f aca="false">F241</f>
        <v>33333.3333333326</v>
      </c>
      <c r="C242" s="9" t="n">
        <f aca="false">E242+D242</f>
        <v>472.222222222218</v>
      </c>
      <c r="D242" s="9" t="n">
        <f aca="false">B242*Inputs!$C$8</f>
        <v>194.44444444444</v>
      </c>
      <c r="E242" s="9" t="n">
        <f aca="false">Inputs!$C$5/Inputs!$C$9</f>
        <v>277.777777777778</v>
      </c>
      <c r="F242" s="9" t="n">
        <f aca="false">B242-E242</f>
        <v>33055.5555555548</v>
      </c>
    </row>
    <row r="243" customFormat="false" ht="15" hidden="false" customHeight="false" outlineLevel="0" collapsed="false">
      <c r="A243" s="0" t="n">
        <v>242</v>
      </c>
      <c r="B243" s="9" t="n">
        <f aca="false">F242</f>
        <v>33055.5555555548</v>
      </c>
      <c r="C243" s="9" t="n">
        <f aca="false">E243+D243</f>
        <v>470.601851851847</v>
      </c>
      <c r="D243" s="9" t="n">
        <f aca="false">B243*Inputs!$C$8</f>
        <v>192.82407407407</v>
      </c>
      <c r="E243" s="9" t="n">
        <f aca="false">Inputs!$C$5/Inputs!$C$9</f>
        <v>277.777777777778</v>
      </c>
      <c r="F243" s="9" t="n">
        <f aca="false">B243-E243</f>
        <v>32777.777777777</v>
      </c>
    </row>
    <row r="244" customFormat="false" ht="15" hidden="false" customHeight="false" outlineLevel="0" collapsed="false">
      <c r="A244" s="0" t="n">
        <v>243</v>
      </c>
      <c r="B244" s="9" t="n">
        <f aca="false">F243</f>
        <v>32777.777777777</v>
      </c>
      <c r="C244" s="9" t="n">
        <f aca="false">E244+D244</f>
        <v>468.981481481477</v>
      </c>
      <c r="D244" s="9" t="n">
        <f aca="false">B244*Inputs!$C$8</f>
        <v>191.203703703699</v>
      </c>
      <c r="E244" s="9" t="n">
        <f aca="false">Inputs!$C$5/Inputs!$C$9</f>
        <v>277.777777777778</v>
      </c>
      <c r="F244" s="9" t="n">
        <f aca="false">B244-E244</f>
        <v>32499.9999999992</v>
      </c>
    </row>
    <row r="245" customFormat="false" ht="15" hidden="false" customHeight="false" outlineLevel="0" collapsed="false">
      <c r="A245" s="0" t="n">
        <v>244</v>
      </c>
      <c r="B245" s="9" t="n">
        <f aca="false">F244</f>
        <v>32499.9999999992</v>
      </c>
      <c r="C245" s="9" t="n">
        <f aca="false">E245+D245</f>
        <v>467.361111111107</v>
      </c>
      <c r="D245" s="9" t="n">
        <f aca="false">B245*Inputs!$C$8</f>
        <v>189.583333333329</v>
      </c>
      <c r="E245" s="9" t="n">
        <f aca="false">Inputs!$C$5/Inputs!$C$9</f>
        <v>277.777777777778</v>
      </c>
      <c r="F245" s="9" t="n">
        <f aca="false">B245-E245</f>
        <v>32222.2222222214</v>
      </c>
    </row>
    <row r="246" customFormat="false" ht="15" hidden="false" customHeight="false" outlineLevel="0" collapsed="false">
      <c r="A246" s="0" t="n">
        <v>245</v>
      </c>
      <c r="B246" s="9" t="n">
        <f aca="false">F245</f>
        <v>32222.2222222214</v>
      </c>
      <c r="C246" s="9" t="n">
        <f aca="false">E246+D246</f>
        <v>465.740740740736</v>
      </c>
      <c r="D246" s="9" t="n">
        <f aca="false">B246*Inputs!$C$8</f>
        <v>187.962962962958</v>
      </c>
      <c r="E246" s="9" t="n">
        <f aca="false">Inputs!$C$5/Inputs!$C$9</f>
        <v>277.777777777778</v>
      </c>
      <c r="F246" s="9" t="n">
        <f aca="false">B246-E246</f>
        <v>31944.4444444437</v>
      </c>
    </row>
    <row r="247" customFormat="false" ht="15" hidden="false" customHeight="false" outlineLevel="0" collapsed="false">
      <c r="A247" s="0" t="n">
        <v>246</v>
      </c>
      <c r="B247" s="9" t="n">
        <f aca="false">F246</f>
        <v>31944.4444444437</v>
      </c>
      <c r="C247" s="9" t="n">
        <f aca="false">E247+D247</f>
        <v>464.120370370366</v>
      </c>
      <c r="D247" s="9" t="n">
        <f aca="false">B247*Inputs!$C$8</f>
        <v>186.342592592588</v>
      </c>
      <c r="E247" s="9" t="n">
        <f aca="false">Inputs!$C$5/Inputs!$C$9</f>
        <v>277.777777777778</v>
      </c>
      <c r="F247" s="9" t="n">
        <f aca="false">B247-E247</f>
        <v>31666.6666666659</v>
      </c>
    </row>
    <row r="248" customFormat="false" ht="15" hidden="false" customHeight="false" outlineLevel="0" collapsed="false">
      <c r="A248" s="0" t="n">
        <v>247</v>
      </c>
      <c r="B248" s="9" t="n">
        <f aca="false">F247</f>
        <v>31666.6666666659</v>
      </c>
      <c r="C248" s="9" t="n">
        <f aca="false">E248+D248</f>
        <v>462.499999999995</v>
      </c>
      <c r="D248" s="9" t="n">
        <f aca="false">B248*Inputs!$C$8</f>
        <v>184.722222222218</v>
      </c>
      <c r="E248" s="9" t="n">
        <f aca="false">Inputs!$C$5/Inputs!$C$9</f>
        <v>277.777777777778</v>
      </c>
      <c r="F248" s="9" t="n">
        <f aca="false">B248-E248</f>
        <v>31388.8888888881</v>
      </c>
    </row>
    <row r="249" customFormat="false" ht="15" hidden="false" customHeight="false" outlineLevel="0" collapsed="false">
      <c r="A249" s="0" t="n">
        <v>248</v>
      </c>
      <c r="B249" s="9" t="n">
        <f aca="false">F248</f>
        <v>31388.8888888881</v>
      </c>
      <c r="C249" s="9" t="n">
        <f aca="false">E249+D249</f>
        <v>460.879629629625</v>
      </c>
      <c r="D249" s="9" t="n">
        <f aca="false">B249*Inputs!$C$8</f>
        <v>183.101851851847</v>
      </c>
      <c r="E249" s="9" t="n">
        <f aca="false">Inputs!$C$5/Inputs!$C$9</f>
        <v>277.777777777778</v>
      </c>
      <c r="F249" s="9" t="n">
        <f aca="false">B249-E249</f>
        <v>31111.1111111103</v>
      </c>
    </row>
    <row r="250" customFormat="false" ht="15" hidden="false" customHeight="false" outlineLevel="0" collapsed="false">
      <c r="A250" s="0" t="n">
        <v>249</v>
      </c>
      <c r="B250" s="9" t="n">
        <f aca="false">F249</f>
        <v>31111.1111111103</v>
      </c>
      <c r="C250" s="9" t="n">
        <f aca="false">E250+D250</f>
        <v>459.259259259255</v>
      </c>
      <c r="D250" s="9" t="n">
        <f aca="false">B250*Inputs!$C$8</f>
        <v>181.481481481477</v>
      </c>
      <c r="E250" s="9" t="n">
        <f aca="false">Inputs!$C$5/Inputs!$C$9</f>
        <v>277.777777777778</v>
      </c>
      <c r="F250" s="9" t="n">
        <f aca="false">B250-E250</f>
        <v>30833.3333333326</v>
      </c>
    </row>
    <row r="251" customFormat="false" ht="15" hidden="false" customHeight="false" outlineLevel="0" collapsed="false">
      <c r="A251" s="0" t="n">
        <v>250</v>
      </c>
      <c r="B251" s="9" t="n">
        <f aca="false">F250</f>
        <v>30833.3333333326</v>
      </c>
      <c r="C251" s="9" t="n">
        <f aca="false">E251+D251</f>
        <v>457.638888888884</v>
      </c>
      <c r="D251" s="9" t="n">
        <f aca="false">B251*Inputs!$C$8</f>
        <v>179.861111111107</v>
      </c>
      <c r="E251" s="9" t="n">
        <f aca="false">Inputs!$C$5/Inputs!$C$9</f>
        <v>277.777777777778</v>
      </c>
      <c r="F251" s="9" t="n">
        <f aca="false">B251-E251</f>
        <v>30555.5555555548</v>
      </c>
    </row>
    <row r="252" customFormat="false" ht="15" hidden="false" customHeight="false" outlineLevel="0" collapsed="false">
      <c r="A252" s="0" t="n">
        <v>251</v>
      </c>
      <c r="B252" s="9" t="n">
        <f aca="false">F251</f>
        <v>30555.5555555548</v>
      </c>
      <c r="C252" s="9" t="n">
        <f aca="false">E252+D252</f>
        <v>456.018518518514</v>
      </c>
      <c r="D252" s="9" t="n">
        <f aca="false">B252*Inputs!$C$8</f>
        <v>178.240740740736</v>
      </c>
      <c r="E252" s="9" t="n">
        <f aca="false">Inputs!$C$5/Inputs!$C$9</f>
        <v>277.777777777778</v>
      </c>
      <c r="F252" s="9" t="n">
        <f aca="false">B252-E252</f>
        <v>30277.777777777</v>
      </c>
    </row>
    <row r="253" customFormat="false" ht="15" hidden="false" customHeight="false" outlineLevel="0" collapsed="false">
      <c r="A253" s="0" t="n">
        <v>252</v>
      </c>
      <c r="B253" s="9" t="n">
        <f aca="false">F252</f>
        <v>30277.777777777</v>
      </c>
      <c r="C253" s="9" t="n">
        <f aca="false">E253+D253</f>
        <v>454.398148148144</v>
      </c>
      <c r="D253" s="9" t="n">
        <f aca="false">B253*Inputs!$C$8</f>
        <v>176.620370370366</v>
      </c>
      <c r="E253" s="9" t="n">
        <f aca="false">Inputs!$C$5/Inputs!$C$9</f>
        <v>277.777777777778</v>
      </c>
      <c r="F253" s="9" t="n">
        <f aca="false">B253-E253</f>
        <v>29999.9999999992</v>
      </c>
    </row>
    <row r="254" customFormat="false" ht="15" hidden="false" customHeight="false" outlineLevel="0" collapsed="false">
      <c r="A254" s="0" t="n">
        <v>253</v>
      </c>
      <c r="B254" s="9" t="n">
        <f aca="false">F253</f>
        <v>29999.9999999992</v>
      </c>
      <c r="C254" s="9" t="n">
        <f aca="false">E254+D254</f>
        <v>452.777777777773</v>
      </c>
      <c r="D254" s="9" t="n">
        <f aca="false">B254*Inputs!$C$8</f>
        <v>174.999999999995</v>
      </c>
      <c r="E254" s="9" t="n">
        <f aca="false">Inputs!$C$5/Inputs!$C$9</f>
        <v>277.777777777778</v>
      </c>
      <c r="F254" s="9" t="n">
        <f aca="false">B254-E254</f>
        <v>29722.2222222214</v>
      </c>
    </row>
    <row r="255" customFormat="false" ht="15" hidden="false" customHeight="false" outlineLevel="0" collapsed="false">
      <c r="A255" s="0" t="n">
        <v>254</v>
      </c>
      <c r="B255" s="9" t="n">
        <f aca="false">F254</f>
        <v>29722.2222222214</v>
      </c>
      <c r="C255" s="9" t="n">
        <f aca="false">E255+D255</f>
        <v>451.157407407403</v>
      </c>
      <c r="D255" s="9" t="n">
        <f aca="false">B255*Inputs!$C$8</f>
        <v>173.379629629625</v>
      </c>
      <c r="E255" s="9" t="n">
        <f aca="false">Inputs!$C$5/Inputs!$C$9</f>
        <v>277.777777777778</v>
      </c>
      <c r="F255" s="9" t="n">
        <f aca="false">B255-E255</f>
        <v>29444.4444444437</v>
      </c>
    </row>
    <row r="256" customFormat="false" ht="15" hidden="false" customHeight="false" outlineLevel="0" collapsed="false">
      <c r="A256" s="0" t="n">
        <v>255</v>
      </c>
      <c r="B256" s="9" t="n">
        <f aca="false">F255</f>
        <v>29444.4444444437</v>
      </c>
      <c r="C256" s="9" t="n">
        <f aca="false">E256+D256</f>
        <v>449.537037037033</v>
      </c>
      <c r="D256" s="9" t="n">
        <f aca="false">B256*Inputs!$C$8</f>
        <v>171.759259259255</v>
      </c>
      <c r="E256" s="9" t="n">
        <f aca="false">Inputs!$C$5/Inputs!$C$9</f>
        <v>277.777777777778</v>
      </c>
      <c r="F256" s="9" t="n">
        <f aca="false">B256-E256</f>
        <v>29166.6666666659</v>
      </c>
    </row>
    <row r="257" customFormat="false" ht="15" hidden="false" customHeight="false" outlineLevel="0" collapsed="false">
      <c r="A257" s="0" t="n">
        <v>256</v>
      </c>
      <c r="B257" s="9" t="n">
        <f aca="false">F256</f>
        <v>29166.6666666659</v>
      </c>
      <c r="C257" s="9" t="n">
        <f aca="false">E257+D257</f>
        <v>447.916666666662</v>
      </c>
      <c r="D257" s="9" t="n">
        <f aca="false">B257*Inputs!$C$8</f>
        <v>170.138888888884</v>
      </c>
      <c r="E257" s="9" t="n">
        <f aca="false">Inputs!$C$5/Inputs!$C$9</f>
        <v>277.777777777778</v>
      </c>
      <c r="F257" s="9" t="n">
        <f aca="false">B257-E257</f>
        <v>28888.8888888881</v>
      </c>
    </row>
    <row r="258" customFormat="false" ht="15" hidden="false" customHeight="false" outlineLevel="0" collapsed="false">
      <c r="A258" s="0" t="n">
        <v>257</v>
      </c>
      <c r="B258" s="9" t="n">
        <f aca="false">F257</f>
        <v>28888.8888888881</v>
      </c>
      <c r="C258" s="9" t="n">
        <f aca="false">E258+D258</f>
        <v>446.296296296292</v>
      </c>
      <c r="D258" s="9" t="n">
        <f aca="false">B258*Inputs!$C$8</f>
        <v>168.518518518514</v>
      </c>
      <c r="E258" s="9" t="n">
        <f aca="false">Inputs!$C$5/Inputs!$C$9</f>
        <v>277.777777777778</v>
      </c>
      <c r="F258" s="9" t="n">
        <f aca="false">B258-E258</f>
        <v>28611.1111111103</v>
      </c>
    </row>
    <row r="259" customFormat="false" ht="15" hidden="false" customHeight="false" outlineLevel="0" collapsed="false">
      <c r="A259" s="0" t="n">
        <v>258</v>
      </c>
      <c r="B259" s="9" t="n">
        <f aca="false">F258</f>
        <v>28611.1111111103</v>
      </c>
      <c r="C259" s="9" t="n">
        <f aca="false">E259+D259</f>
        <v>444.675925925921</v>
      </c>
      <c r="D259" s="9" t="n">
        <f aca="false">B259*Inputs!$C$8</f>
        <v>166.898148148144</v>
      </c>
      <c r="E259" s="9" t="n">
        <f aca="false">Inputs!$C$5/Inputs!$C$9</f>
        <v>277.777777777778</v>
      </c>
      <c r="F259" s="9" t="n">
        <f aca="false">B259-E259</f>
        <v>28333.3333333326</v>
      </c>
    </row>
    <row r="260" customFormat="false" ht="15" hidden="false" customHeight="false" outlineLevel="0" collapsed="false">
      <c r="A260" s="0" t="n">
        <v>259</v>
      </c>
      <c r="B260" s="9" t="n">
        <f aca="false">F259</f>
        <v>28333.3333333326</v>
      </c>
      <c r="C260" s="9" t="n">
        <f aca="false">E260+D260</f>
        <v>443.055555555551</v>
      </c>
      <c r="D260" s="9" t="n">
        <f aca="false">B260*Inputs!$C$8</f>
        <v>165.277777777773</v>
      </c>
      <c r="E260" s="9" t="n">
        <f aca="false">Inputs!$C$5/Inputs!$C$9</f>
        <v>277.777777777778</v>
      </c>
      <c r="F260" s="9" t="n">
        <f aca="false">B260-E260</f>
        <v>28055.5555555548</v>
      </c>
    </row>
    <row r="261" customFormat="false" ht="15" hidden="false" customHeight="false" outlineLevel="0" collapsed="false">
      <c r="A261" s="0" t="n">
        <v>260</v>
      </c>
      <c r="B261" s="9" t="n">
        <f aca="false">F260</f>
        <v>28055.5555555548</v>
      </c>
      <c r="C261" s="9" t="n">
        <f aca="false">E261+D261</f>
        <v>441.435185185181</v>
      </c>
      <c r="D261" s="9" t="n">
        <f aca="false">B261*Inputs!$C$8</f>
        <v>163.657407407403</v>
      </c>
      <c r="E261" s="9" t="n">
        <f aca="false">Inputs!$C$5/Inputs!$C$9</f>
        <v>277.777777777778</v>
      </c>
      <c r="F261" s="9" t="n">
        <f aca="false">B261-E261</f>
        <v>27777.777777777</v>
      </c>
    </row>
    <row r="262" customFormat="false" ht="15" hidden="false" customHeight="false" outlineLevel="0" collapsed="false">
      <c r="A262" s="0" t="n">
        <v>261</v>
      </c>
      <c r="B262" s="9" t="n">
        <f aca="false">F261</f>
        <v>27777.777777777</v>
      </c>
      <c r="C262" s="9" t="n">
        <f aca="false">E262+D262</f>
        <v>439.81481481481</v>
      </c>
      <c r="D262" s="9" t="n">
        <f aca="false">B262*Inputs!$C$8</f>
        <v>162.037037037033</v>
      </c>
      <c r="E262" s="9" t="n">
        <f aca="false">Inputs!$C$5/Inputs!$C$9</f>
        <v>277.777777777778</v>
      </c>
      <c r="F262" s="9" t="n">
        <f aca="false">B262-E262</f>
        <v>27499.9999999992</v>
      </c>
    </row>
    <row r="263" customFormat="false" ht="15" hidden="false" customHeight="false" outlineLevel="0" collapsed="false">
      <c r="A263" s="0" t="n">
        <v>262</v>
      </c>
      <c r="B263" s="9" t="n">
        <f aca="false">F262</f>
        <v>27499.9999999992</v>
      </c>
      <c r="C263" s="9" t="n">
        <f aca="false">E263+D263</f>
        <v>438.19444444444</v>
      </c>
      <c r="D263" s="9" t="n">
        <f aca="false">B263*Inputs!$C$8</f>
        <v>160.416666666662</v>
      </c>
      <c r="E263" s="9" t="n">
        <f aca="false">Inputs!$C$5/Inputs!$C$9</f>
        <v>277.777777777778</v>
      </c>
      <c r="F263" s="9" t="n">
        <f aca="false">B263-E263</f>
        <v>27222.2222222214</v>
      </c>
    </row>
    <row r="264" customFormat="false" ht="15" hidden="false" customHeight="false" outlineLevel="0" collapsed="false">
      <c r="A264" s="0" t="n">
        <v>263</v>
      </c>
      <c r="B264" s="9" t="n">
        <f aca="false">F263</f>
        <v>27222.2222222214</v>
      </c>
      <c r="C264" s="9" t="n">
        <f aca="false">E264+D264</f>
        <v>436.57407407407</v>
      </c>
      <c r="D264" s="9" t="n">
        <f aca="false">B264*Inputs!$C$8</f>
        <v>158.796296296292</v>
      </c>
      <c r="E264" s="9" t="n">
        <f aca="false">Inputs!$C$5/Inputs!$C$9</f>
        <v>277.777777777778</v>
      </c>
      <c r="F264" s="9" t="n">
        <f aca="false">B264-E264</f>
        <v>26944.4444444437</v>
      </c>
    </row>
    <row r="265" customFormat="false" ht="15" hidden="false" customHeight="false" outlineLevel="0" collapsed="false">
      <c r="A265" s="0" t="n">
        <v>264</v>
      </c>
      <c r="B265" s="9" t="n">
        <f aca="false">F264</f>
        <v>26944.4444444437</v>
      </c>
      <c r="C265" s="9" t="n">
        <f aca="false">E265+D265</f>
        <v>434.953703703699</v>
      </c>
      <c r="D265" s="9" t="n">
        <f aca="false">B265*Inputs!$C$8</f>
        <v>157.175925925921</v>
      </c>
      <c r="E265" s="9" t="n">
        <f aca="false">Inputs!$C$5/Inputs!$C$9</f>
        <v>277.777777777778</v>
      </c>
      <c r="F265" s="9" t="n">
        <f aca="false">B265-E265</f>
        <v>26666.6666666659</v>
      </c>
    </row>
    <row r="266" customFormat="false" ht="15" hidden="false" customHeight="false" outlineLevel="0" collapsed="false">
      <c r="A266" s="0" t="n">
        <v>265</v>
      </c>
      <c r="B266" s="9" t="n">
        <f aca="false">F265</f>
        <v>26666.6666666659</v>
      </c>
      <c r="C266" s="9" t="n">
        <f aca="false">E266+D266</f>
        <v>433.333333333329</v>
      </c>
      <c r="D266" s="9" t="n">
        <f aca="false">B266*Inputs!$C$8</f>
        <v>155.555555555551</v>
      </c>
      <c r="E266" s="9" t="n">
        <f aca="false">Inputs!$C$5/Inputs!$C$9</f>
        <v>277.777777777778</v>
      </c>
      <c r="F266" s="9" t="n">
        <f aca="false">B266-E266</f>
        <v>26388.8888888881</v>
      </c>
    </row>
    <row r="267" customFormat="false" ht="15" hidden="false" customHeight="false" outlineLevel="0" collapsed="false">
      <c r="A267" s="0" t="n">
        <v>266</v>
      </c>
      <c r="B267" s="9" t="n">
        <f aca="false">F266</f>
        <v>26388.8888888881</v>
      </c>
      <c r="C267" s="9" t="n">
        <f aca="false">E267+D267</f>
        <v>431.712962962958</v>
      </c>
      <c r="D267" s="9" t="n">
        <f aca="false">B267*Inputs!$C$8</f>
        <v>153.935185185181</v>
      </c>
      <c r="E267" s="9" t="n">
        <f aca="false">Inputs!$C$5/Inputs!$C$9</f>
        <v>277.777777777778</v>
      </c>
      <c r="F267" s="9" t="n">
        <f aca="false">B267-E267</f>
        <v>26111.1111111103</v>
      </c>
    </row>
    <row r="268" customFormat="false" ht="15" hidden="false" customHeight="false" outlineLevel="0" collapsed="false">
      <c r="A268" s="0" t="n">
        <v>267</v>
      </c>
      <c r="B268" s="9" t="n">
        <f aca="false">F267</f>
        <v>26111.1111111103</v>
      </c>
      <c r="C268" s="9" t="n">
        <f aca="false">E268+D268</f>
        <v>430.092592592588</v>
      </c>
      <c r="D268" s="9" t="n">
        <f aca="false">B268*Inputs!$C$8</f>
        <v>152.31481481481</v>
      </c>
      <c r="E268" s="9" t="n">
        <f aca="false">Inputs!$C$5/Inputs!$C$9</f>
        <v>277.777777777778</v>
      </c>
      <c r="F268" s="9" t="n">
        <f aca="false">B268-E268</f>
        <v>25833.3333333326</v>
      </c>
    </row>
    <row r="269" customFormat="false" ht="15" hidden="false" customHeight="false" outlineLevel="0" collapsed="false">
      <c r="A269" s="0" t="n">
        <v>268</v>
      </c>
      <c r="B269" s="9" t="n">
        <f aca="false">F268</f>
        <v>25833.3333333326</v>
      </c>
      <c r="C269" s="9" t="n">
        <f aca="false">E269+D269</f>
        <v>428.472222222218</v>
      </c>
      <c r="D269" s="9" t="n">
        <f aca="false">B269*Inputs!$C$8</f>
        <v>150.69444444444</v>
      </c>
      <c r="E269" s="9" t="n">
        <f aca="false">Inputs!$C$5/Inputs!$C$9</f>
        <v>277.777777777778</v>
      </c>
      <c r="F269" s="9" t="n">
        <f aca="false">B269-E269</f>
        <v>25555.5555555548</v>
      </c>
    </row>
    <row r="270" customFormat="false" ht="15" hidden="false" customHeight="false" outlineLevel="0" collapsed="false">
      <c r="A270" s="0" t="n">
        <v>269</v>
      </c>
      <c r="B270" s="9" t="n">
        <f aca="false">F269</f>
        <v>25555.5555555548</v>
      </c>
      <c r="C270" s="9" t="n">
        <f aca="false">E270+D270</f>
        <v>426.851851851847</v>
      </c>
      <c r="D270" s="9" t="n">
        <f aca="false">B270*Inputs!$C$8</f>
        <v>149.07407407407</v>
      </c>
      <c r="E270" s="9" t="n">
        <f aca="false">Inputs!$C$5/Inputs!$C$9</f>
        <v>277.777777777778</v>
      </c>
      <c r="F270" s="9" t="n">
        <f aca="false">B270-E270</f>
        <v>25277.777777777</v>
      </c>
    </row>
    <row r="271" customFormat="false" ht="15" hidden="false" customHeight="false" outlineLevel="0" collapsed="false">
      <c r="A271" s="0" t="n">
        <v>270</v>
      </c>
      <c r="B271" s="9" t="n">
        <f aca="false">F270</f>
        <v>25277.777777777</v>
      </c>
      <c r="C271" s="9" t="n">
        <f aca="false">E271+D271</f>
        <v>425.231481481477</v>
      </c>
      <c r="D271" s="9" t="n">
        <f aca="false">B271*Inputs!$C$8</f>
        <v>147.453703703699</v>
      </c>
      <c r="E271" s="9" t="n">
        <f aca="false">Inputs!$C$5/Inputs!$C$9</f>
        <v>277.777777777778</v>
      </c>
      <c r="F271" s="9" t="n">
        <f aca="false">B271-E271</f>
        <v>24999.9999999992</v>
      </c>
    </row>
    <row r="272" customFormat="false" ht="15" hidden="false" customHeight="false" outlineLevel="0" collapsed="false">
      <c r="A272" s="0" t="n">
        <v>271</v>
      </c>
      <c r="B272" s="9" t="n">
        <f aca="false">F271</f>
        <v>24999.9999999992</v>
      </c>
      <c r="C272" s="9" t="n">
        <f aca="false">E272+D272</f>
        <v>423.611111111107</v>
      </c>
      <c r="D272" s="9" t="n">
        <f aca="false">B272*Inputs!$C$8</f>
        <v>145.833333333329</v>
      </c>
      <c r="E272" s="9" t="n">
        <f aca="false">Inputs!$C$5/Inputs!$C$9</f>
        <v>277.777777777778</v>
      </c>
      <c r="F272" s="9" t="n">
        <f aca="false">B272-E272</f>
        <v>24722.2222222215</v>
      </c>
    </row>
    <row r="273" customFormat="false" ht="15" hidden="false" customHeight="false" outlineLevel="0" collapsed="false">
      <c r="A273" s="0" t="n">
        <v>272</v>
      </c>
      <c r="B273" s="9" t="n">
        <f aca="false">F272</f>
        <v>24722.2222222215</v>
      </c>
      <c r="C273" s="9" t="n">
        <f aca="false">E273+D273</f>
        <v>421.990740740736</v>
      </c>
      <c r="D273" s="9" t="n">
        <f aca="false">B273*Inputs!$C$8</f>
        <v>144.212962962958</v>
      </c>
      <c r="E273" s="9" t="n">
        <f aca="false">Inputs!$C$5/Inputs!$C$9</f>
        <v>277.777777777778</v>
      </c>
      <c r="F273" s="9" t="n">
        <f aca="false">B273-E273</f>
        <v>24444.4444444437</v>
      </c>
    </row>
    <row r="274" customFormat="false" ht="15" hidden="false" customHeight="false" outlineLevel="0" collapsed="false">
      <c r="A274" s="0" t="n">
        <v>273</v>
      </c>
      <c r="B274" s="9" t="n">
        <f aca="false">F273</f>
        <v>24444.4444444437</v>
      </c>
      <c r="C274" s="9" t="n">
        <f aca="false">E274+D274</f>
        <v>420.370370370366</v>
      </c>
      <c r="D274" s="9" t="n">
        <f aca="false">B274*Inputs!$C$8</f>
        <v>142.592592592588</v>
      </c>
      <c r="E274" s="9" t="n">
        <f aca="false">Inputs!$C$5/Inputs!$C$9</f>
        <v>277.777777777778</v>
      </c>
      <c r="F274" s="9" t="n">
        <f aca="false">B274-E274</f>
        <v>24166.6666666659</v>
      </c>
    </row>
    <row r="275" customFormat="false" ht="15" hidden="false" customHeight="false" outlineLevel="0" collapsed="false">
      <c r="A275" s="0" t="n">
        <v>274</v>
      </c>
      <c r="B275" s="9" t="n">
        <f aca="false">F274</f>
        <v>24166.6666666659</v>
      </c>
      <c r="C275" s="9" t="n">
        <f aca="false">E275+D275</f>
        <v>418.749999999996</v>
      </c>
      <c r="D275" s="9" t="n">
        <f aca="false">B275*Inputs!$C$8</f>
        <v>140.972222222218</v>
      </c>
      <c r="E275" s="9" t="n">
        <f aca="false">Inputs!$C$5/Inputs!$C$9</f>
        <v>277.777777777778</v>
      </c>
      <c r="F275" s="9" t="n">
        <f aca="false">B275-E275</f>
        <v>23888.8888888881</v>
      </c>
    </row>
    <row r="276" customFormat="false" ht="15" hidden="false" customHeight="false" outlineLevel="0" collapsed="false">
      <c r="A276" s="0" t="n">
        <v>275</v>
      </c>
      <c r="B276" s="9" t="n">
        <f aca="false">F275</f>
        <v>23888.8888888881</v>
      </c>
      <c r="C276" s="9" t="n">
        <f aca="false">E276+D276</f>
        <v>417.129629629625</v>
      </c>
      <c r="D276" s="9" t="n">
        <f aca="false">B276*Inputs!$C$8</f>
        <v>139.351851851847</v>
      </c>
      <c r="E276" s="9" t="n">
        <f aca="false">Inputs!$C$5/Inputs!$C$9</f>
        <v>277.777777777778</v>
      </c>
      <c r="F276" s="9" t="n">
        <f aca="false">B276-E276</f>
        <v>23611.1111111103</v>
      </c>
    </row>
    <row r="277" customFormat="false" ht="15" hidden="false" customHeight="false" outlineLevel="0" collapsed="false">
      <c r="A277" s="0" t="n">
        <v>276</v>
      </c>
      <c r="B277" s="9" t="n">
        <f aca="false">F276</f>
        <v>23611.1111111103</v>
      </c>
      <c r="C277" s="9" t="n">
        <f aca="false">E277+D277</f>
        <v>415.509259259255</v>
      </c>
      <c r="D277" s="9" t="n">
        <f aca="false">B277*Inputs!$C$8</f>
        <v>137.731481481477</v>
      </c>
      <c r="E277" s="9" t="n">
        <f aca="false">Inputs!$C$5/Inputs!$C$9</f>
        <v>277.777777777778</v>
      </c>
      <c r="F277" s="9" t="n">
        <f aca="false">B277-E277</f>
        <v>23333.3333333326</v>
      </c>
    </row>
    <row r="278" customFormat="false" ht="15" hidden="false" customHeight="false" outlineLevel="0" collapsed="false">
      <c r="A278" s="0" t="n">
        <v>277</v>
      </c>
      <c r="B278" s="9" t="n">
        <f aca="false">F277</f>
        <v>23333.3333333326</v>
      </c>
      <c r="C278" s="9" t="n">
        <f aca="false">E278+D278</f>
        <v>413.888888888884</v>
      </c>
      <c r="D278" s="9" t="n">
        <f aca="false">B278*Inputs!$C$8</f>
        <v>136.111111111107</v>
      </c>
      <c r="E278" s="9" t="n">
        <f aca="false">Inputs!$C$5/Inputs!$C$9</f>
        <v>277.777777777778</v>
      </c>
      <c r="F278" s="9" t="n">
        <f aca="false">B278-E278</f>
        <v>23055.5555555548</v>
      </c>
    </row>
    <row r="279" customFormat="false" ht="15" hidden="false" customHeight="false" outlineLevel="0" collapsed="false">
      <c r="A279" s="0" t="n">
        <v>278</v>
      </c>
      <c r="B279" s="9" t="n">
        <f aca="false">F278</f>
        <v>23055.5555555548</v>
      </c>
      <c r="C279" s="9" t="n">
        <f aca="false">E279+D279</f>
        <v>412.268518518514</v>
      </c>
      <c r="D279" s="9" t="n">
        <f aca="false">B279*Inputs!$C$8</f>
        <v>134.490740740736</v>
      </c>
      <c r="E279" s="9" t="n">
        <f aca="false">Inputs!$C$5/Inputs!$C$9</f>
        <v>277.777777777778</v>
      </c>
      <c r="F279" s="9" t="n">
        <f aca="false">B279-E279</f>
        <v>22777.777777777</v>
      </c>
    </row>
    <row r="280" customFormat="false" ht="15" hidden="false" customHeight="false" outlineLevel="0" collapsed="false">
      <c r="A280" s="0" t="n">
        <v>279</v>
      </c>
      <c r="B280" s="9" t="n">
        <f aca="false">F279</f>
        <v>22777.777777777</v>
      </c>
      <c r="C280" s="9" t="n">
        <f aca="false">E280+D280</f>
        <v>410.648148148144</v>
      </c>
      <c r="D280" s="9" t="n">
        <f aca="false">B280*Inputs!$C$8</f>
        <v>132.870370370366</v>
      </c>
      <c r="E280" s="9" t="n">
        <f aca="false">Inputs!$C$5/Inputs!$C$9</f>
        <v>277.777777777778</v>
      </c>
      <c r="F280" s="9" t="n">
        <f aca="false">B280-E280</f>
        <v>22499.9999999992</v>
      </c>
    </row>
    <row r="281" customFormat="false" ht="15" hidden="false" customHeight="false" outlineLevel="0" collapsed="false">
      <c r="A281" s="0" t="n">
        <v>280</v>
      </c>
      <c r="B281" s="9" t="n">
        <f aca="false">F280</f>
        <v>22499.9999999992</v>
      </c>
      <c r="C281" s="9" t="n">
        <f aca="false">E281+D281</f>
        <v>409.027777777773</v>
      </c>
      <c r="D281" s="9" t="n">
        <f aca="false">B281*Inputs!$C$8</f>
        <v>131.249999999996</v>
      </c>
      <c r="E281" s="9" t="n">
        <f aca="false">Inputs!$C$5/Inputs!$C$9</f>
        <v>277.777777777778</v>
      </c>
      <c r="F281" s="9" t="n">
        <f aca="false">B281-E281</f>
        <v>22222.2222222215</v>
      </c>
    </row>
    <row r="282" customFormat="false" ht="15" hidden="false" customHeight="false" outlineLevel="0" collapsed="false">
      <c r="A282" s="0" t="n">
        <v>281</v>
      </c>
      <c r="B282" s="9" t="n">
        <f aca="false">F281</f>
        <v>22222.2222222215</v>
      </c>
      <c r="C282" s="9" t="n">
        <f aca="false">E282+D282</f>
        <v>407.407407407403</v>
      </c>
      <c r="D282" s="9" t="n">
        <f aca="false">B282*Inputs!$C$8</f>
        <v>129.629629629625</v>
      </c>
      <c r="E282" s="9" t="n">
        <f aca="false">Inputs!$C$5/Inputs!$C$9</f>
        <v>277.777777777778</v>
      </c>
      <c r="F282" s="9" t="n">
        <f aca="false">B282-E282</f>
        <v>21944.4444444437</v>
      </c>
    </row>
    <row r="283" customFormat="false" ht="15" hidden="false" customHeight="false" outlineLevel="0" collapsed="false">
      <c r="A283" s="0" t="n">
        <v>282</v>
      </c>
      <c r="B283" s="9" t="n">
        <f aca="false">F282</f>
        <v>21944.4444444437</v>
      </c>
      <c r="C283" s="9" t="n">
        <f aca="false">E283+D283</f>
        <v>405.787037037033</v>
      </c>
      <c r="D283" s="9" t="n">
        <f aca="false">B283*Inputs!$C$8</f>
        <v>128.009259259255</v>
      </c>
      <c r="E283" s="9" t="n">
        <f aca="false">Inputs!$C$5/Inputs!$C$9</f>
        <v>277.777777777778</v>
      </c>
      <c r="F283" s="9" t="n">
        <f aca="false">B283-E283</f>
        <v>21666.6666666659</v>
      </c>
    </row>
    <row r="284" customFormat="false" ht="15" hidden="false" customHeight="false" outlineLevel="0" collapsed="false">
      <c r="A284" s="0" t="n">
        <v>283</v>
      </c>
      <c r="B284" s="9" t="n">
        <f aca="false">F283</f>
        <v>21666.6666666659</v>
      </c>
      <c r="C284" s="9" t="n">
        <f aca="false">E284+D284</f>
        <v>404.166666666662</v>
      </c>
      <c r="D284" s="9" t="n">
        <f aca="false">B284*Inputs!$C$8</f>
        <v>126.388888888884</v>
      </c>
      <c r="E284" s="9" t="n">
        <f aca="false">Inputs!$C$5/Inputs!$C$9</f>
        <v>277.777777777778</v>
      </c>
      <c r="F284" s="9" t="n">
        <f aca="false">B284-E284</f>
        <v>21388.8888888881</v>
      </c>
    </row>
    <row r="285" customFormat="false" ht="15" hidden="false" customHeight="false" outlineLevel="0" collapsed="false">
      <c r="A285" s="0" t="n">
        <v>284</v>
      </c>
      <c r="B285" s="9" t="n">
        <f aca="false">F284</f>
        <v>21388.8888888881</v>
      </c>
      <c r="C285" s="9" t="n">
        <f aca="false">E285+D285</f>
        <v>402.546296296292</v>
      </c>
      <c r="D285" s="9" t="n">
        <f aca="false">B285*Inputs!$C$8</f>
        <v>124.768518518514</v>
      </c>
      <c r="E285" s="9" t="n">
        <f aca="false">Inputs!$C$5/Inputs!$C$9</f>
        <v>277.777777777778</v>
      </c>
      <c r="F285" s="9" t="n">
        <f aca="false">B285-E285</f>
        <v>21111.1111111103</v>
      </c>
    </row>
    <row r="286" customFormat="false" ht="15" hidden="false" customHeight="false" outlineLevel="0" collapsed="false">
      <c r="A286" s="0" t="n">
        <v>285</v>
      </c>
      <c r="B286" s="9" t="n">
        <f aca="false">F285</f>
        <v>21111.1111111103</v>
      </c>
      <c r="C286" s="9" t="n">
        <f aca="false">E286+D286</f>
        <v>400.925925925921</v>
      </c>
      <c r="D286" s="9" t="n">
        <f aca="false">B286*Inputs!$C$8</f>
        <v>123.148148148144</v>
      </c>
      <c r="E286" s="9" t="n">
        <f aca="false">Inputs!$C$5/Inputs!$C$9</f>
        <v>277.777777777778</v>
      </c>
      <c r="F286" s="9" t="n">
        <f aca="false">B286-E286</f>
        <v>20833.3333333326</v>
      </c>
    </row>
    <row r="287" customFormat="false" ht="15" hidden="false" customHeight="false" outlineLevel="0" collapsed="false">
      <c r="A287" s="0" t="n">
        <v>286</v>
      </c>
      <c r="B287" s="9" t="n">
        <f aca="false">F286</f>
        <v>20833.3333333326</v>
      </c>
      <c r="C287" s="9" t="n">
        <f aca="false">E287+D287</f>
        <v>399.305555555551</v>
      </c>
      <c r="D287" s="9" t="n">
        <f aca="false">B287*Inputs!$C$8</f>
        <v>121.527777777773</v>
      </c>
      <c r="E287" s="9" t="n">
        <f aca="false">Inputs!$C$5/Inputs!$C$9</f>
        <v>277.777777777778</v>
      </c>
      <c r="F287" s="9" t="n">
        <f aca="false">B287-E287</f>
        <v>20555.5555555548</v>
      </c>
    </row>
    <row r="288" customFormat="false" ht="15" hidden="false" customHeight="false" outlineLevel="0" collapsed="false">
      <c r="A288" s="0" t="n">
        <v>287</v>
      </c>
      <c r="B288" s="9" t="n">
        <f aca="false">F287</f>
        <v>20555.5555555548</v>
      </c>
      <c r="C288" s="9" t="n">
        <f aca="false">E288+D288</f>
        <v>397.685185185181</v>
      </c>
      <c r="D288" s="9" t="n">
        <f aca="false">B288*Inputs!$C$8</f>
        <v>119.907407407403</v>
      </c>
      <c r="E288" s="9" t="n">
        <f aca="false">Inputs!$C$5/Inputs!$C$9</f>
        <v>277.777777777778</v>
      </c>
      <c r="F288" s="9" t="n">
        <f aca="false">B288-E288</f>
        <v>20277.777777777</v>
      </c>
    </row>
    <row r="289" customFormat="false" ht="15" hidden="false" customHeight="false" outlineLevel="0" collapsed="false">
      <c r="A289" s="0" t="n">
        <v>288</v>
      </c>
      <c r="B289" s="9" t="n">
        <f aca="false">F288</f>
        <v>20277.777777777</v>
      </c>
      <c r="C289" s="9" t="n">
        <f aca="false">E289+D289</f>
        <v>396.06481481481</v>
      </c>
      <c r="D289" s="9" t="n">
        <f aca="false">B289*Inputs!$C$8</f>
        <v>118.287037037033</v>
      </c>
      <c r="E289" s="9" t="n">
        <f aca="false">Inputs!$C$5/Inputs!$C$9</f>
        <v>277.777777777778</v>
      </c>
      <c r="F289" s="9" t="n">
        <f aca="false">B289-E289</f>
        <v>19999.9999999992</v>
      </c>
    </row>
    <row r="290" customFormat="false" ht="15" hidden="false" customHeight="false" outlineLevel="0" collapsed="false">
      <c r="A290" s="0" t="n">
        <v>289</v>
      </c>
      <c r="B290" s="9" t="n">
        <f aca="false">F289</f>
        <v>19999.9999999992</v>
      </c>
      <c r="C290" s="9" t="n">
        <f aca="false">E290+D290</f>
        <v>394.44444444444</v>
      </c>
      <c r="D290" s="9" t="n">
        <f aca="false">B290*Inputs!$C$8</f>
        <v>116.666666666662</v>
      </c>
      <c r="E290" s="9" t="n">
        <f aca="false">Inputs!$C$5/Inputs!$C$9</f>
        <v>277.777777777778</v>
      </c>
      <c r="F290" s="9" t="n">
        <f aca="false">B290-E290</f>
        <v>19722.2222222215</v>
      </c>
    </row>
    <row r="291" customFormat="false" ht="15" hidden="false" customHeight="false" outlineLevel="0" collapsed="false">
      <c r="A291" s="0" t="n">
        <v>290</v>
      </c>
      <c r="B291" s="9" t="n">
        <f aca="false">F290</f>
        <v>19722.2222222215</v>
      </c>
      <c r="C291" s="9" t="n">
        <f aca="false">E291+D291</f>
        <v>392.82407407407</v>
      </c>
      <c r="D291" s="9" t="n">
        <f aca="false">B291*Inputs!$C$8</f>
        <v>115.046296296292</v>
      </c>
      <c r="E291" s="9" t="n">
        <f aca="false">Inputs!$C$5/Inputs!$C$9</f>
        <v>277.777777777778</v>
      </c>
      <c r="F291" s="9" t="n">
        <f aca="false">B291-E291</f>
        <v>19444.4444444437</v>
      </c>
    </row>
    <row r="292" customFormat="false" ht="15" hidden="false" customHeight="false" outlineLevel="0" collapsed="false">
      <c r="A292" s="0" t="n">
        <v>291</v>
      </c>
      <c r="B292" s="9" t="n">
        <f aca="false">F291</f>
        <v>19444.4444444437</v>
      </c>
      <c r="C292" s="9" t="n">
        <f aca="false">E292+D292</f>
        <v>391.203703703699</v>
      </c>
      <c r="D292" s="9" t="n">
        <f aca="false">B292*Inputs!$C$8</f>
        <v>113.425925925921</v>
      </c>
      <c r="E292" s="9" t="n">
        <f aca="false">Inputs!$C$5/Inputs!$C$9</f>
        <v>277.777777777778</v>
      </c>
      <c r="F292" s="9" t="n">
        <f aca="false">B292-E292</f>
        <v>19166.6666666659</v>
      </c>
    </row>
    <row r="293" customFormat="false" ht="15" hidden="false" customHeight="false" outlineLevel="0" collapsed="false">
      <c r="A293" s="0" t="n">
        <v>292</v>
      </c>
      <c r="B293" s="9" t="n">
        <f aca="false">F292</f>
        <v>19166.6666666659</v>
      </c>
      <c r="C293" s="9" t="n">
        <f aca="false">E293+D293</f>
        <v>389.583333333329</v>
      </c>
      <c r="D293" s="9" t="n">
        <f aca="false">B293*Inputs!$C$8</f>
        <v>111.805555555551</v>
      </c>
      <c r="E293" s="9" t="n">
        <f aca="false">Inputs!$C$5/Inputs!$C$9</f>
        <v>277.777777777778</v>
      </c>
      <c r="F293" s="9" t="n">
        <f aca="false">B293-E293</f>
        <v>18888.8888888881</v>
      </c>
    </row>
    <row r="294" customFormat="false" ht="15" hidden="false" customHeight="false" outlineLevel="0" collapsed="false">
      <c r="A294" s="0" t="n">
        <v>293</v>
      </c>
      <c r="B294" s="9" t="n">
        <f aca="false">F293</f>
        <v>18888.8888888881</v>
      </c>
      <c r="C294" s="9" t="n">
        <f aca="false">E294+D294</f>
        <v>387.962962962959</v>
      </c>
      <c r="D294" s="9" t="n">
        <f aca="false">B294*Inputs!$C$8</f>
        <v>110.185185185181</v>
      </c>
      <c r="E294" s="9" t="n">
        <f aca="false">Inputs!$C$5/Inputs!$C$9</f>
        <v>277.777777777778</v>
      </c>
      <c r="F294" s="9" t="n">
        <f aca="false">B294-E294</f>
        <v>18611.1111111104</v>
      </c>
    </row>
    <row r="295" customFormat="false" ht="15" hidden="false" customHeight="false" outlineLevel="0" collapsed="false">
      <c r="A295" s="0" t="n">
        <v>294</v>
      </c>
      <c r="B295" s="9" t="n">
        <f aca="false">F294</f>
        <v>18611.1111111104</v>
      </c>
      <c r="C295" s="9" t="n">
        <f aca="false">E295+D295</f>
        <v>386.342592592588</v>
      </c>
      <c r="D295" s="9" t="n">
        <f aca="false">B295*Inputs!$C$8</f>
        <v>108.56481481481</v>
      </c>
      <c r="E295" s="9" t="n">
        <f aca="false">Inputs!$C$5/Inputs!$C$9</f>
        <v>277.777777777778</v>
      </c>
      <c r="F295" s="9" t="n">
        <f aca="false">B295-E295</f>
        <v>18333.3333333326</v>
      </c>
    </row>
    <row r="296" customFormat="false" ht="15" hidden="false" customHeight="false" outlineLevel="0" collapsed="false">
      <c r="A296" s="0" t="n">
        <v>295</v>
      </c>
      <c r="B296" s="9" t="n">
        <f aca="false">F295</f>
        <v>18333.3333333326</v>
      </c>
      <c r="C296" s="9" t="n">
        <f aca="false">E296+D296</f>
        <v>384.722222222218</v>
      </c>
      <c r="D296" s="9" t="n">
        <f aca="false">B296*Inputs!$C$8</f>
        <v>106.94444444444</v>
      </c>
      <c r="E296" s="9" t="n">
        <f aca="false">Inputs!$C$5/Inputs!$C$9</f>
        <v>277.777777777778</v>
      </c>
      <c r="F296" s="9" t="n">
        <f aca="false">B296-E296</f>
        <v>18055.5555555548</v>
      </c>
    </row>
    <row r="297" customFormat="false" ht="15" hidden="false" customHeight="false" outlineLevel="0" collapsed="false">
      <c r="A297" s="0" t="n">
        <v>296</v>
      </c>
      <c r="B297" s="9" t="n">
        <f aca="false">F296</f>
        <v>18055.5555555548</v>
      </c>
      <c r="C297" s="9" t="n">
        <f aca="false">E297+D297</f>
        <v>383.101851851847</v>
      </c>
      <c r="D297" s="9" t="n">
        <f aca="false">B297*Inputs!$C$8</f>
        <v>105.32407407407</v>
      </c>
      <c r="E297" s="9" t="n">
        <f aca="false">Inputs!$C$5/Inputs!$C$9</f>
        <v>277.777777777778</v>
      </c>
      <c r="F297" s="9" t="n">
        <f aca="false">B297-E297</f>
        <v>17777.777777777</v>
      </c>
    </row>
    <row r="298" customFormat="false" ht="15" hidden="false" customHeight="false" outlineLevel="0" collapsed="false">
      <c r="A298" s="0" t="n">
        <v>297</v>
      </c>
      <c r="B298" s="9" t="n">
        <f aca="false">F297</f>
        <v>17777.777777777</v>
      </c>
      <c r="C298" s="9" t="n">
        <f aca="false">E298+D298</f>
        <v>381.481481481477</v>
      </c>
      <c r="D298" s="9" t="n">
        <f aca="false">B298*Inputs!$C$8</f>
        <v>103.703703703699</v>
      </c>
      <c r="E298" s="9" t="n">
        <f aca="false">Inputs!$C$5/Inputs!$C$9</f>
        <v>277.777777777778</v>
      </c>
      <c r="F298" s="9" t="n">
        <f aca="false">B298-E298</f>
        <v>17499.9999999992</v>
      </c>
    </row>
    <row r="299" customFormat="false" ht="15" hidden="false" customHeight="false" outlineLevel="0" collapsed="false">
      <c r="A299" s="0" t="n">
        <v>298</v>
      </c>
      <c r="B299" s="9" t="n">
        <f aca="false">F298</f>
        <v>17499.9999999992</v>
      </c>
      <c r="C299" s="9" t="n">
        <f aca="false">E299+D299</f>
        <v>379.861111111107</v>
      </c>
      <c r="D299" s="9" t="n">
        <f aca="false">B299*Inputs!$C$8</f>
        <v>102.083333333329</v>
      </c>
      <c r="E299" s="9" t="n">
        <f aca="false">Inputs!$C$5/Inputs!$C$9</f>
        <v>277.777777777778</v>
      </c>
      <c r="F299" s="9" t="n">
        <f aca="false">B299-E299</f>
        <v>17222.2222222215</v>
      </c>
    </row>
    <row r="300" customFormat="false" ht="15" hidden="false" customHeight="false" outlineLevel="0" collapsed="false">
      <c r="A300" s="0" t="n">
        <v>299</v>
      </c>
      <c r="B300" s="9" t="n">
        <f aca="false">F299</f>
        <v>17222.2222222215</v>
      </c>
      <c r="C300" s="9" t="n">
        <f aca="false">E300+D300</f>
        <v>378.240740740736</v>
      </c>
      <c r="D300" s="9" t="n">
        <f aca="false">B300*Inputs!$C$8</f>
        <v>100.462962962959</v>
      </c>
      <c r="E300" s="9" t="n">
        <f aca="false">Inputs!$C$5/Inputs!$C$9</f>
        <v>277.777777777778</v>
      </c>
      <c r="F300" s="9" t="n">
        <f aca="false">B300-E300</f>
        <v>16944.4444444437</v>
      </c>
    </row>
    <row r="301" customFormat="false" ht="15" hidden="false" customHeight="false" outlineLevel="0" collapsed="false">
      <c r="A301" s="0" t="n">
        <v>300</v>
      </c>
      <c r="B301" s="9" t="n">
        <f aca="false">F300</f>
        <v>16944.4444444437</v>
      </c>
      <c r="C301" s="9" t="n">
        <f aca="false">E301+D301</f>
        <v>376.620370370366</v>
      </c>
      <c r="D301" s="9" t="n">
        <f aca="false">B301*Inputs!$C$8</f>
        <v>98.8425925925882</v>
      </c>
      <c r="E301" s="9" t="n">
        <f aca="false">Inputs!$C$5/Inputs!$C$9</f>
        <v>277.777777777778</v>
      </c>
      <c r="F301" s="9" t="n">
        <f aca="false">B301-E301</f>
        <v>16666.6666666659</v>
      </c>
    </row>
    <row r="302" customFormat="false" ht="15" hidden="false" customHeight="false" outlineLevel="0" collapsed="false">
      <c r="A302" s="0" t="n">
        <v>301</v>
      </c>
      <c r="B302" s="9" t="n">
        <f aca="false">F301</f>
        <v>16666.6666666659</v>
      </c>
      <c r="C302" s="9" t="n">
        <f aca="false">E302+D302</f>
        <v>374.999999999996</v>
      </c>
      <c r="D302" s="9" t="n">
        <f aca="false">B302*Inputs!$C$8</f>
        <v>97.2222222222178</v>
      </c>
      <c r="E302" s="9" t="n">
        <f aca="false">Inputs!$C$5/Inputs!$C$9</f>
        <v>277.777777777778</v>
      </c>
      <c r="F302" s="9" t="n">
        <f aca="false">B302-E302</f>
        <v>16388.8888888881</v>
      </c>
    </row>
    <row r="303" customFormat="false" ht="15" hidden="false" customHeight="false" outlineLevel="0" collapsed="false">
      <c r="A303" s="0" t="n">
        <v>302</v>
      </c>
      <c r="B303" s="9" t="n">
        <f aca="false">F302</f>
        <v>16388.8888888881</v>
      </c>
      <c r="C303" s="9" t="n">
        <f aca="false">E303+D303</f>
        <v>373.379629629625</v>
      </c>
      <c r="D303" s="9" t="n">
        <f aca="false">B303*Inputs!$C$8</f>
        <v>95.6018518518474</v>
      </c>
      <c r="E303" s="9" t="n">
        <f aca="false">Inputs!$C$5/Inputs!$C$9</f>
        <v>277.777777777778</v>
      </c>
      <c r="F303" s="9" t="n">
        <f aca="false">B303-E303</f>
        <v>16111.1111111104</v>
      </c>
    </row>
    <row r="304" customFormat="false" ht="15" hidden="false" customHeight="false" outlineLevel="0" collapsed="false">
      <c r="A304" s="0" t="n">
        <v>303</v>
      </c>
      <c r="B304" s="9" t="n">
        <f aca="false">F303</f>
        <v>16111.1111111104</v>
      </c>
      <c r="C304" s="9" t="n">
        <f aca="false">E304+D304</f>
        <v>371.759259259255</v>
      </c>
      <c r="D304" s="9" t="n">
        <f aca="false">B304*Inputs!$C$8</f>
        <v>93.9814814814771</v>
      </c>
      <c r="E304" s="9" t="n">
        <f aca="false">Inputs!$C$5/Inputs!$C$9</f>
        <v>277.777777777778</v>
      </c>
      <c r="F304" s="9" t="n">
        <f aca="false">B304-E304</f>
        <v>15833.3333333326</v>
      </c>
    </row>
    <row r="305" customFormat="false" ht="15" hidden="false" customHeight="false" outlineLevel="0" collapsed="false">
      <c r="A305" s="0" t="n">
        <v>304</v>
      </c>
      <c r="B305" s="9" t="n">
        <f aca="false">F304</f>
        <v>15833.3333333326</v>
      </c>
      <c r="C305" s="9" t="n">
        <f aca="false">E305+D305</f>
        <v>370.138888888885</v>
      </c>
      <c r="D305" s="9" t="n">
        <f aca="false">B305*Inputs!$C$8</f>
        <v>92.3611111111067</v>
      </c>
      <c r="E305" s="9" t="n">
        <f aca="false">Inputs!$C$5/Inputs!$C$9</f>
        <v>277.777777777778</v>
      </c>
      <c r="F305" s="9" t="n">
        <f aca="false">B305-E305</f>
        <v>15555.5555555548</v>
      </c>
    </row>
    <row r="306" customFormat="false" ht="15" hidden="false" customHeight="false" outlineLevel="0" collapsed="false">
      <c r="A306" s="0" t="n">
        <v>305</v>
      </c>
      <c r="B306" s="9" t="n">
        <f aca="false">F305</f>
        <v>15555.5555555548</v>
      </c>
      <c r="C306" s="9" t="n">
        <f aca="false">E306+D306</f>
        <v>368.518518518514</v>
      </c>
      <c r="D306" s="9" t="n">
        <f aca="false">B306*Inputs!$C$8</f>
        <v>90.7407407407363</v>
      </c>
      <c r="E306" s="9" t="n">
        <f aca="false">Inputs!$C$5/Inputs!$C$9</f>
        <v>277.777777777778</v>
      </c>
      <c r="F306" s="9" t="n">
        <f aca="false">B306-E306</f>
        <v>15277.777777777</v>
      </c>
    </row>
    <row r="307" customFormat="false" ht="15" hidden="false" customHeight="false" outlineLevel="0" collapsed="false">
      <c r="A307" s="0" t="n">
        <v>306</v>
      </c>
      <c r="B307" s="9" t="n">
        <f aca="false">F306</f>
        <v>15277.777777777</v>
      </c>
      <c r="C307" s="9" t="n">
        <f aca="false">E307+D307</f>
        <v>366.898148148144</v>
      </c>
      <c r="D307" s="9" t="n">
        <f aca="false">B307*Inputs!$C$8</f>
        <v>89.120370370366</v>
      </c>
      <c r="E307" s="9" t="n">
        <f aca="false">Inputs!$C$5/Inputs!$C$9</f>
        <v>277.777777777778</v>
      </c>
      <c r="F307" s="9" t="n">
        <f aca="false">B307-E307</f>
        <v>14999.9999999992</v>
      </c>
    </row>
    <row r="308" customFormat="false" ht="15" hidden="false" customHeight="false" outlineLevel="0" collapsed="false">
      <c r="A308" s="0" t="n">
        <v>307</v>
      </c>
      <c r="B308" s="9" t="n">
        <f aca="false">F307</f>
        <v>14999.9999999992</v>
      </c>
      <c r="C308" s="9" t="n">
        <f aca="false">E308+D308</f>
        <v>365.277777777773</v>
      </c>
      <c r="D308" s="9" t="n">
        <f aca="false">B308*Inputs!$C$8</f>
        <v>87.4999999999956</v>
      </c>
      <c r="E308" s="9" t="n">
        <f aca="false">Inputs!$C$5/Inputs!$C$9</f>
        <v>277.777777777778</v>
      </c>
      <c r="F308" s="9" t="n">
        <f aca="false">B308-E308</f>
        <v>14722.2222222215</v>
      </c>
    </row>
    <row r="309" customFormat="false" ht="15" hidden="false" customHeight="false" outlineLevel="0" collapsed="false">
      <c r="A309" s="0" t="n">
        <v>308</v>
      </c>
      <c r="B309" s="9" t="n">
        <f aca="false">F308</f>
        <v>14722.2222222215</v>
      </c>
      <c r="C309" s="9" t="n">
        <f aca="false">E309+D309</f>
        <v>363.657407407403</v>
      </c>
      <c r="D309" s="9" t="n">
        <f aca="false">B309*Inputs!$C$8</f>
        <v>85.8796296296252</v>
      </c>
      <c r="E309" s="9" t="n">
        <f aca="false">Inputs!$C$5/Inputs!$C$9</f>
        <v>277.777777777778</v>
      </c>
      <c r="F309" s="9" t="n">
        <f aca="false">B309-E309</f>
        <v>14444.4444444437</v>
      </c>
    </row>
    <row r="310" customFormat="false" ht="15" hidden="false" customHeight="false" outlineLevel="0" collapsed="false">
      <c r="A310" s="0" t="n">
        <v>309</v>
      </c>
      <c r="B310" s="9" t="n">
        <f aca="false">F309</f>
        <v>14444.4444444437</v>
      </c>
      <c r="C310" s="9" t="n">
        <f aca="false">E310+D310</f>
        <v>362.037037037033</v>
      </c>
      <c r="D310" s="9" t="n">
        <f aca="false">B310*Inputs!$C$8</f>
        <v>84.2592592592549</v>
      </c>
      <c r="E310" s="9" t="n">
        <f aca="false">Inputs!$C$5/Inputs!$C$9</f>
        <v>277.777777777778</v>
      </c>
      <c r="F310" s="9" t="n">
        <f aca="false">B310-E310</f>
        <v>14166.6666666659</v>
      </c>
    </row>
    <row r="311" customFormat="false" ht="15" hidden="false" customHeight="false" outlineLevel="0" collapsed="false">
      <c r="A311" s="0" t="n">
        <v>310</v>
      </c>
      <c r="B311" s="9" t="n">
        <f aca="false">F310</f>
        <v>14166.6666666659</v>
      </c>
      <c r="C311" s="9" t="n">
        <f aca="false">E311+D311</f>
        <v>360.416666666662</v>
      </c>
      <c r="D311" s="9" t="n">
        <f aca="false">B311*Inputs!$C$8</f>
        <v>82.6388888888845</v>
      </c>
      <c r="E311" s="9" t="n">
        <f aca="false">Inputs!$C$5/Inputs!$C$9</f>
        <v>277.777777777778</v>
      </c>
      <c r="F311" s="9" t="n">
        <f aca="false">B311-E311</f>
        <v>13888.8888888881</v>
      </c>
    </row>
    <row r="312" customFormat="false" ht="15" hidden="false" customHeight="false" outlineLevel="0" collapsed="false">
      <c r="A312" s="0" t="n">
        <v>311</v>
      </c>
      <c r="B312" s="9" t="n">
        <f aca="false">F311</f>
        <v>13888.8888888881</v>
      </c>
      <c r="C312" s="9" t="n">
        <f aca="false">E312+D312</f>
        <v>358.796296296292</v>
      </c>
      <c r="D312" s="9" t="n">
        <f aca="false">B312*Inputs!$C$8</f>
        <v>81.0185185185141</v>
      </c>
      <c r="E312" s="9" t="n">
        <f aca="false">Inputs!$C$5/Inputs!$C$9</f>
        <v>277.777777777778</v>
      </c>
      <c r="F312" s="9" t="n">
        <f aca="false">B312-E312</f>
        <v>13611.1111111104</v>
      </c>
    </row>
    <row r="313" customFormat="false" ht="15" hidden="false" customHeight="false" outlineLevel="0" collapsed="false">
      <c r="A313" s="0" t="n">
        <v>312</v>
      </c>
      <c r="B313" s="9" t="n">
        <f aca="false">F312</f>
        <v>13611.1111111104</v>
      </c>
      <c r="C313" s="9" t="n">
        <f aca="false">E313+D313</f>
        <v>357.175925925922</v>
      </c>
      <c r="D313" s="9" t="n">
        <f aca="false">B313*Inputs!$C$8</f>
        <v>79.3981481481438</v>
      </c>
      <c r="E313" s="9" t="n">
        <f aca="false">Inputs!$C$5/Inputs!$C$9</f>
        <v>277.777777777778</v>
      </c>
      <c r="F313" s="9" t="n">
        <f aca="false">B313-E313</f>
        <v>13333.3333333326</v>
      </c>
    </row>
    <row r="314" customFormat="false" ht="15" hidden="false" customHeight="false" outlineLevel="0" collapsed="false">
      <c r="A314" s="0" t="n">
        <v>313</v>
      </c>
      <c r="B314" s="9" t="n">
        <f aca="false">F313</f>
        <v>13333.3333333326</v>
      </c>
      <c r="C314" s="9" t="n">
        <f aca="false">E314+D314</f>
        <v>355.555555555551</v>
      </c>
      <c r="D314" s="9" t="n">
        <f aca="false">B314*Inputs!$C$8</f>
        <v>77.7777777777734</v>
      </c>
      <c r="E314" s="9" t="n">
        <f aca="false">Inputs!$C$5/Inputs!$C$9</f>
        <v>277.777777777778</v>
      </c>
      <c r="F314" s="9" t="n">
        <f aca="false">B314-E314</f>
        <v>13055.5555555548</v>
      </c>
    </row>
    <row r="315" customFormat="false" ht="15" hidden="false" customHeight="false" outlineLevel="0" collapsed="false">
      <c r="A315" s="0" t="n">
        <v>314</v>
      </c>
      <c r="B315" s="9" t="n">
        <f aca="false">F314</f>
        <v>13055.5555555548</v>
      </c>
      <c r="C315" s="9" t="n">
        <f aca="false">E315+D315</f>
        <v>353.935185185181</v>
      </c>
      <c r="D315" s="9" t="n">
        <f aca="false">B315*Inputs!$C$8</f>
        <v>76.157407407403</v>
      </c>
      <c r="E315" s="9" t="n">
        <f aca="false">Inputs!$C$5/Inputs!$C$9</f>
        <v>277.777777777778</v>
      </c>
      <c r="F315" s="9" t="n">
        <f aca="false">B315-E315</f>
        <v>12777.777777777</v>
      </c>
    </row>
    <row r="316" customFormat="false" ht="15" hidden="false" customHeight="false" outlineLevel="0" collapsed="false">
      <c r="A316" s="0" t="n">
        <v>315</v>
      </c>
      <c r="B316" s="9" t="n">
        <f aca="false">F315</f>
        <v>12777.777777777</v>
      </c>
      <c r="C316" s="9" t="n">
        <f aca="false">E316+D316</f>
        <v>352.31481481481</v>
      </c>
      <c r="D316" s="9" t="n">
        <f aca="false">B316*Inputs!$C$8</f>
        <v>74.5370370370327</v>
      </c>
      <c r="E316" s="9" t="n">
        <f aca="false">Inputs!$C$5/Inputs!$C$9</f>
        <v>277.777777777778</v>
      </c>
      <c r="F316" s="9" t="n">
        <f aca="false">B316-E316</f>
        <v>12499.9999999992</v>
      </c>
    </row>
    <row r="317" customFormat="false" ht="15" hidden="false" customHeight="false" outlineLevel="0" collapsed="false">
      <c r="A317" s="0" t="n">
        <v>316</v>
      </c>
      <c r="B317" s="9" t="n">
        <f aca="false">F316</f>
        <v>12499.9999999992</v>
      </c>
      <c r="C317" s="9" t="n">
        <f aca="false">E317+D317</f>
        <v>350.69444444444</v>
      </c>
      <c r="D317" s="9" t="n">
        <f aca="false">B317*Inputs!$C$8</f>
        <v>72.9166666666623</v>
      </c>
      <c r="E317" s="9" t="n">
        <f aca="false">Inputs!$C$5/Inputs!$C$9</f>
        <v>277.777777777778</v>
      </c>
      <c r="F317" s="9" t="n">
        <f aca="false">B317-E317</f>
        <v>12222.2222222215</v>
      </c>
    </row>
    <row r="318" customFormat="false" ht="15" hidden="false" customHeight="false" outlineLevel="0" collapsed="false">
      <c r="A318" s="0" t="n">
        <v>317</v>
      </c>
      <c r="B318" s="9" t="n">
        <f aca="false">F317</f>
        <v>12222.2222222215</v>
      </c>
      <c r="C318" s="9" t="n">
        <f aca="false">E318+D318</f>
        <v>349.07407407407</v>
      </c>
      <c r="D318" s="9" t="n">
        <f aca="false">B318*Inputs!$C$8</f>
        <v>71.2962962962919</v>
      </c>
      <c r="E318" s="9" t="n">
        <f aca="false">Inputs!$C$5/Inputs!$C$9</f>
        <v>277.777777777778</v>
      </c>
      <c r="F318" s="9" t="n">
        <f aca="false">B318-E318</f>
        <v>11944.4444444437</v>
      </c>
    </row>
    <row r="319" customFormat="false" ht="15" hidden="false" customHeight="false" outlineLevel="0" collapsed="false">
      <c r="A319" s="0" t="n">
        <v>318</v>
      </c>
      <c r="B319" s="9" t="n">
        <f aca="false">F318</f>
        <v>11944.4444444437</v>
      </c>
      <c r="C319" s="9" t="n">
        <f aca="false">E319+D319</f>
        <v>347.453703703699</v>
      </c>
      <c r="D319" s="9" t="n">
        <f aca="false">B319*Inputs!$C$8</f>
        <v>69.6759259259216</v>
      </c>
      <c r="E319" s="9" t="n">
        <f aca="false">Inputs!$C$5/Inputs!$C$9</f>
        <v>277.777777777778</v>
      </c>
      <c r="F319" s="9" t="n">
        <f aca="false">B319-E319</f>
        <v>11666.6666666659</v>
      </c>
    </row>
    <row r="320" customFormat="false" ht="15" hidden="false" customHeight="false" outlineLevel="0" collapsed="false">
      <c r="A320" s="0" t="n">
        <v>319</v>
      </c>
      <c r="B320" s="9" t="n">
        <f aca="false">F319</f>
        <v>11666.6666666659</v>
      </c>
      <c r="C320" s="9" t="n">
        <f aca="false">E320+D320</f>
        <v>345.833333333329</v>
      </c>
      <c r="D320" s="9" t="n">
        <f aca="false">B320*Inputs!$C$8</f>
        <v>68.0555555555512</v>
      </c>
      <c r="E320" s="9" t="n">
        <f aca="false">Inputs!$C$5/Inputs!$C$9</f>
        <v>277.777777777778</v>
      </c>
      <c r="F320" s="9" t="n">
        <f aca="false">B320-E320</f>
        <v>11388.8888888881</v>
      </c>
    </row>
    <row r="321" customFormat="false" ht="15" hidden="false" customHeight="false" outlineLevel="0" collapsed="false">
      <c r="A321" s="0" t="n">
        <v>320</v>
      </c>
      <c r="B321" s="9" t="n">
        <f aca="false">F320</f>
        <v>11388.8888888881</v>
      </c>
      <c r="C321" s="9" t="n">
        <f aca="false">E321+D321</f>
        <v>344.212962962959</v>
      </c>
      <c r="D321" s="9" t="n">
        <f aca="false">B321*Inputs!$C$8</f>
        <v>66.4351851851808</v>
      </c>
      <c r="E321" s="9" t="n">
        <f aca="false">Inputs!$C$5/Inputs!$C$9</f>
        <v>277.777777777778</v>
      </c>
      <c r="F321" s="9" t="n">
        <f aca="false">B321-E321</f>
        <v>11111.1111111104</v>
      </c>
    </row>
    <row r="322" customFormat="false" ht="15" hidden="false" customHeight="false" outlineLevel="0" collapsed="false">
      <c r="A322" s="0" t="n">
        <v>321</v>
      </c>
      <c r="B322" s="9" t="n">
        <f aca="false">F321</f>
        <v>11111.1111111104</v>
      </c>
      <c r="C322" s="9" t="n">
        <f aca="false">E322+D322</f>
        <v>342.592592592588</v>
      </c>
      <c r="D322" s="9" t="n">
        <f aca="false">B322*Inputs!$C$8</f>
        <v>64.8148148148104</v>
      </c>
      <c r="E322" s="9" t="n">
        <f aca="false">Inputs!$C$5/Inputs!$C$9</f>
        <v>277.777777777778</v>
      </c>
      <c r="F322" s="9" t="n">
        <f aca="false">B322-E322</f>
        <v>10833.3333333326</v>
      </c>
    </row>
    <row r="323" customFormat="false" ht="15" hidden="false" customHeight="false" outlineLevel="0" collapsed="false">
      <c r="A323" s="0" t="n">
        <v>322</v>
      </c>
      <c r="B323" s="9" t="n">
        <f aca="false">F322</f>
        <v>10833.3333333326</v>
      </c>
      <c r="C323" s="9" t="n">
        <f aca="false">E323+D323</f>
        <v>340.972222222218</v>
      </c>
      <c r="D323" s="9" t="n">
        <f aca="false">B323*Inputs!$C$8</f>
        <v>63.1944444444401</v>
      </c>
      <c r="E323" s="9" t="n">
        <f aca="false">Inputs!$C$5/Inputs!$C$9</f>
        <v>277.777777777778</v>
      </c>
      <c r="F323" s="9" t="n">
        <f aca="false">B323-E323</f>
        <v>10555.5555555548</v>
      </c>
    </row>
    <row r="324" customFormat="false" ht="15" hidden="false" customHeight="false" outlineLevel="0" collapsed="false">
      <c r="A324" s="0" t="n">
        <v>323</v>
      </c>
      <c r="B324" s="9" t="n">
        <f aca="false">F323</f>
        <v>10555.5555555548</v>
      </c>
      <c r="C324" s="9" t="n">
        <f aca="false">E324+D324</f>
        <v>339.351851851847</v>
      </c>
      <c r="D324" s="9" t="n">
        <f aca="false">B324*Inputs!$C$8</f>
        <v>61.5740740740697</v>
      </c>
      <c r="E324" s="9" t="n">
        <f aca="false">Inputs!$C$5/Inputs!$C$9</f>
        <v>277.777777777778</v>
      </c>
      <c r="F324" s="9" t="n">
        <f aca="false">B324-E324</f>
        <v>10277.777777777</v>
      </c>
    </row>
    <row r="325" customFormat="false" ht="15" hidden="false" customHeight="false" outlineLevel="0" collapsed="false">
      <c r="A325" s="0" t="n">
        <v>324</v>
      </c>
      <c r="B325" s="9" t="n">
        <f aca="false">F324</f>
        <v>10277.777777777</v>
      </c>
      <c r="C325" s="9" t="n">
        <f aca="false">E325+D325</f>
        <v>337.731481481477</v>
      </c>
      <c r="D325" s="9" t="n">
        <f aca="false">B325*Inputs!$C$8</f>
        <v>59.9537037036993</v>
      </c>
      <c r="E325" s="9" t="n">
        <f aca="false">Inputs!$C$5/Inputs!$C$9</f>
        <v>277.777777777778</v>
      </c>
      <c r="F325" s="9" t="n">
        <f aca="false">B325-E325</f>
        <v>9999.99999999925</v>
      </c>
    </row>
    <row r="326" customFormat="false" ht="15" hidden="false" customHeight="false" outlineLevel="0" collapsed="false">
      <c r="A326" s="0" t="n">
        <v>325</v>
      </c>
      <c r="B326" s="9" t="n">
        <f aca="false">F325</f>
        <v>9999.99999999925</v>
      </c>
      <c r="C326" s="9" t="n">
        <f aca="false">E326+D326</f>
        <v>336.111111111107</v>
      </c>
      <c r="D326" s="9" t="n">
        <f aca="false">B326*Inputs!$C$8</f>
        <v>58.333333333329</v>
      </c>
      <c r="E326" s="9" t="n">
        <f aca="false">Inputs!$C$5/Inputs!$C$9</f>
        <v>277.777777777778</v>
      </c>
      <c r="F326" s="9" t="n">
        <f aca="false">B326-E326</f>
        <v>9722.22222222147</v>
      </c>
    </row>
    <row r="327" customFormat="false" ht="15" hidden="false" customHeight="false" outlineLevel="0" collapsed="false">
      <c r="A327" s="0" t="n">
        <v>326</v>
      </c>
      <c r="B327" s="9" t="n">
        <f aca="false">F326</f>
        <v>9722.22222222147</v>
      </c>
      <c r="C327" s="9" t="n">
        <f aca="false">E327+D327</f>
        <v>334.490740740736</v>
      </c>
      <c r="D327" s="9" t="n">
        <f aca="false">B327*Inputs!$C$8</f>
        <v>56.7129629629586</v>
      </c>
      <c r="E327" s="9" t="n">
        <f aca="false">Inputs!$C$5/Inputs!$C$9</f>
        <v>277.777777777778</v>
      </c>
      <c r="F327" s="9" t="n">
        <f aca="false">B327-E327</f>
        <v>9444.4444444437</v>
      </c>
    </row>
    <row r="328" customFormat="false" ht="15" hidden="false" customHeight="false" outlineLevel="0" collapsed="false">
      <c r="A328" s="0" t="n">
        <v>327</v>
      </c>
      <c r="B328" s="9" t="n">
        <f aca="false">F327</f>
        <v>9444.4444444437</v>
      </c>
      <c r="C328" s="9" t="n">
        <f aca="false">E328+D328</f>
        <v>332.870370370366</v>
      </c>
      <c r="D328" s="9" t="n">
        <f aca="false">B328*Inputs!$C$8</f>
        <v>55.0925925925882</v>
      </c>
      <c r="E328" s="9" t="n">
        <f aca="false">Inputs!$C$5/Inputs!$C$9</f>
        <v>277.777777777778</v>
      </c>
      <c r="F328" s="9" t="n">
        <f aca="false">B328-E328</f>
        <v>9166.66666666592</v>
      </c>
    </row>
    <row r="329" customFormat="false" ht="15" hidden="false" customHeight="false" outlineLevel="0" collapsed="false">
      <c r="A329" s="0" t="n">
        <v>328</v>
      </c>
      <c r="B329" s="9" t="n">
        <f aca="false">F328</f>
        <v>9166.66666666592</v>
      </c>
      <c r="C329" s="9" t="n">
        <f aca="false">E329+D329</f>
        <v>331.249999999996</v>
      </c>
      <c r="D329" s="9" t="n">
        <f aca="false">B329*Inputs!$C$8</f>
        <v>53.4722222222179</v>
      </c>
      <c r="E329" s="9" t="n">
        <f aca="false">Inputs!$C$5/Inputs!$C$9</f>
        <v>277.777777777778</v>
      </c>
      <c r="F329" s="9" t="n">
        <f aca="false">B329-E329</f>
        <v>8888.88888888814</v>
      </c>
    </row>
    <row r="330" customFormat="false" ht="15" hidden="false" customHeight="false" outlineLevel="0" collapsed="false">
      <c r="A330" s="0" t="n">
        <v>329</v>
      </c>
      <c r="B330" s="9" t="n">
        <f aca="false">F329</f>
        <v>8888.88888888814</v>
      </c>
      <c r="C330" s="9" t="n">
        <f aca="false">E330+D330</f>
        <v>329.629629629625</v>
      </c>
      <c r="D330" s="9" t="n">
        <f aca="false">B330*Inputs!$C$8</f>
        <v>51.8518518518475</v>
      </c>
      <c r="E330" s="9" t="n">
        <f aca="false">Inputs!$C$5/Inputs!$C$9</f>
        <v>277.777777777778</v>
      </c>
      <c r="F330" s="9" t="n">
        <f aca="false">B330-E330</f>
        <v>8611.11111111036</v>
      </c>
    </row>
    <row r="331" customFormat="false" ht="15" hidden="false" customHeight="false" outlineLevel="0" collapsed="false">
      <c r="A331" s="0" t="n">
        <v>330</v>
      </c>
      <c r="B331" s="9" t="n">
        <f aca="false">F330</f>
        <v>8611.11111111036</v>
      </c>
      <c r="C331" s="9" t="n">
        <f aca="false">E331+D331</f>
        <v>328.009259259255</v>
      </c>
      <c r="D331" s="9" t="n">
        <f aca="false">B331*Inputs!$C$8</f>
        <v>50.2314814814771</v>
      </c>
      <c r="E331" s="9" t="n">
        <f aca="false">Inputs!$C$5/Inputs!$C$9</f>
        <v>277.777777777778</v>
      </c>
      <c r="F331" s="9" t="n">
        <f aca="false">B331-E331</f>
        <v>8333.33333333259</v>
      </c>
    </row>
    <row r="332" customFormat="false" ht="15" hidden="false" customHeight="false" outlineLevel="0" collapsed="false">
      <c r="A332" s="0" t="n">
        <v>331</v>
      </c>
      <c r="B332" s="9" t="n">
        <f aca="false">F331</f>
        <v>8333.33333333259</v>
      </c>
      <c r="C332" s="9" t="n">
        <f aca="false">E332+D332</f>
        <v>326.388888888885</v>
      </c>
      <c r="D332" s="9" t="n">
        <f aca="false">B332*Inputs!$C$8</f>
        <v>48.6111111111068</v>
      </c>
      <c r="E332" s="9" t="n">
        <f aca="false">Inputs!$C$5/Inputs!$C$9</f>
        <v>277.777777777778</v>
      </c>
      <c r="F332" s="9" t="n">
        <f aca="false">B332-E332</f>
        <v>8055.55555555481</v>
      </c>
    </row>
    <row r="333" customFormat="false" ht="15" hidden="false" customHeight="false" outlineLevel="0" collapsed="false">
      <c r="A333" s="0" t="n">
        <v>332</v>
      </c>
      <c r="B333" s="9" t="n">
        <f aca="false">F332</f>
        <v>8055.55555555481</v>
      </c>
      <c r="C333" s="9" t="n">
        <f aca="false">E333+D333</f>
        <v>324.768518518514</v>
      </c>
      <c r="D333" s="9" t="n">
        <f aca="false">B333*Inputs!$C$8</f>
        <v>46.9907407407364</v>
      </c>
      <c r="E333" s="9" t="n">
        <f aca="false">Inputs!$C$5/Inputs!$C$9</f>
        <v>277.777777777778</v>
      </c>
      <c r="F333" s="9" t="n">
        <f aca="false">B333-E333</f>
        <v>7777.77777777703</v>
      </c>
    </row>
    <row r="334" customFormat="false" ht="15" hidden="false" customHeight="false" outlineLevel="0" collapsed="false">
      <c r="A334" s="0" t="n">
        <v>333</v>
      </c>
      <c r="B334" s="9" t="n">
        <f aca="false">F333</f>
        <v>7777.77777777703</v>
      </c>
      <c r="C334" s="9" t="n">
        <f aca="false">E334+D334</f>
        <v>323.148148148144</v>
      </c>
      <c r="D334" s="9" t="n">
        <f aca="false">B334*Inputs!$C$8</f>
        <v>45.370370370366</v>
      </c>
      <c r="E334" s="9" t="n">
        <f aca="false">Inputs!$C$5/Inputs!$C$9</f>
        <v>277.777777777778</v>
      </c>
      <c r="F334" s="9" t="n">
        <f aca="false">B334-E334</f>
        <v>7499.99999999925</v>
      </c>
    </row>
    <row r="335" customFormat="false" ht="15" hidden="false" customHeight="false" outlineLevel="0" collapsed="false">
      <c r="A335" s="0" t="n">
        <v>334</v>
      </c>
      <c r="B335" s="9" t="n">
        <f aca="false">F334</f>
        <v>7499.99999999925</v>
      </c>
      <c r="C335" s="9" t="n">
        <f aca="false">E335+D335</f>
        <v>321.527777777773</v>
      </c>
      <c r="D335" s="9" t="n">
        <f aca="false">B335*Inputs!$C$8</f>
        <v>43.7499999999957</v>
      </c>
      <c r="E335" s="9" t="n">
        <f aca="false">Inputs!$C$5/Inputs!$C$9</f>
        <v>277.777777777778</v>
      </c>
      <c r="F335" s="9" t="n">
        <f aca="false">B335-E335</f>
        <v>7222.22222222148</v>
      </c>
    </row>
    <row r="336" customFormat="false" ht="15" hidden="false" customHeight="false" outlineLevel="0" collapsed="false">
      <c r="A336" s="0" t="n">
        <v>335</v>
      </c>
      <c r="B336" s="9" t="n">
        <f aca="false">F335</f>
        <v>7222.22222222148</v>
      </c>
      <c r="C336" s="9" t="n">
        <f aca="false">E336+D336</f>
        <v>319.907407407403</v>
      </c>
      <c r="D336" s="9" t="n">
        <f aca="false">B336*Inputs!$C$8</f>
        <v>42.1296296296253</v>
      </c>
      <c r="E336" s="9" t="n">
        <f aca="false">Inputs!$C$5/Inputs!$C$9</f>
        <v>277.777777777778</v>
      </c>
      <c r="F336" s="9" t="n">
        <f aca="false">B336-E336</f>
        <v>6944.4444444437</v>
      </c>
    </row>
    <row r="337" customFormat="false" ht="15" hidden="false" customHeight="false" outlineLevel="0" collapsed="false">
      <c r="A337" s="0" t="n">
        <v>336</v>
      </c>
      <c r="B337" s="9" t="n">
        <f aca="false">F336</f>
        <v>6944.4444444437</v>
      </c>
      <c r="C337" s="9" t="n">
        <f aca="false">E337+D337</f>
        <v>318.287037037033</v>
      </c>
      <c r="D337" s="9" t="n">
        <f aca="false">B337*Inputs!$C$8</f>
        <v>40.5092592592549</v>
      </c>
      <c r="E337" s="9" t="n">
        <f aca="false">Inputs!$C$5/Inputs!$C$9</f>
        <v>277.777777777778</v>
      </c>
      <c r="F337" s="9" t="n">
        <f aca="false">B337-E337</f>
        <v>6666.66666666592</v>
      </c>
    </row>
    <row r="338" customFormat="false" ht="15" hidden="false" customHeight="false" outlineLevel="0" collapsed="false">
      <c r="A338" s="0" t="n">
        <v>337</v>
      </c>
      <c r="B338" s="9" t="n">
        <f aca="false">F337</f>
        <v>6666.66666666592</v>
      </c>
      <c r="C338" s="9" t="n">
        <f aca="false">E338+D338</f>
        <v>316.666666666662</v>
      </c>
      <c r="D338" s="9" t="n">
        <f aca="false">B338*Inputs!$C$8</f>
        <v>38.8888888888845</v>
      </c>
      <c r="E338" s="9" t="n">
        <f aca="false">Inputs!$C$5/Inputs!$C$9</f>
        <v>277.777777777778</v>
      </c>
      <c r="F338" s="9" t="n">
        <f aca="false">B338-E338</f>
        <v>6388.88888888815</v>
      </c>
    </row>
    <row r="339" customFormat="false" ht="15" hidden="false" customHeight="false" outlineLevel="0" collapsed="false">
      <c r="A339" s="0" t="n">
        <v>338</v>
      </c>
      <c r="B339" s="9" t="n">
        <f aca="false">F338</f>
        <v>6388.88888888815</v>
      </c>
      <c r="C339" s="9" t="n">
        <f aca="false">E339+D339</f>
        <v>315.046296296292</v>
      </c>
      <c r="D339" s="9" t="n">
        <f aca="false">B339*Inputs!$C$8</f>
        <v>37.2685185185142</v>
      </c>
      <c r="E339" s="9" t="n">
        <f aca="false">Inputs!$C$5/Inputs!$C$9</f>
        <v>277.777777777778</v>
      </c>
      <c r="F339" s="9" t="n">
        <f aca="false">B339-E339</f>
        <v>6111.11111111037</v>
      </c>
    </row>
    <row r="340" customFormat="false" ht="15" hidden="false" customHeight="false" outlineLevel="0" collapsed="false">
      <c r="A340" s="0" t="n">
        <v>339</v>
      </c>
      <c r="B340" s="9" t="n">
        <f aca="false">F339</f>
        <v>6111.11111111037</v>
      </c>
      <c r="C340" s="9" t="n">
        <f aca="false">E340+D340</f>
        <v>313.425925925922</v>
      </c>
      <c r="D340" s="9" t="n">
        <f aca="false">B340*Inputs!$C$8</f>
        <v>35.6481481481438</v>
      </c>
      <c r="E340" s="9" t="n">
        <f aca="false">Inputs!$C$5/Inputs!$C$9</f>
        <v>277.777777777778</v>
      </c>
      <c r="F340" s="9" t="n">
        <f aca="false">B340-E340</f>
        <v>5833.33333333259</v>
      </c>
    </row>
    <row r="341" customFormat="false" ht="15" hidden="false" customHeight="false" outlineLevel="0" collapsed="false">
      <c r="A341" s="0" t="n">
        <v>340</v>
      </c>
      <c r="B341" s="9" t="n">
        <f aca="false">F340</f>
        <v>5833.33333333259</v>
      </c>
      <c r="C341" s="9" t="n">
        <f aca="false">E341+D341</f>
        <v>311.805555555551</v>
      </c>
      <c r="D341" s="9" t="n">
        <f aca="false">B341*Inputs!$C$8</f>
        <v>34.0277777777734</v>
      </c>
      <c r="E341" s="9" t="n">
        <f aca="false">Inputs!$C$5/Inputs!$C$9</f>
        <v>277.777777777778</v>
      </c>
      <c r="F341" s="9" t="n">
        <f aca="false">B341-E341</f>
        <v>5555.55555555481</v>
      </c>
    </row>
    <row r="342" customFormat="false" ht="15" hidden="false" customHeight="false" outlineLevel="0" collapsed="false">
      <c r="A342" s="0" t="n">
        <v>341</v>
      </c>
      <c r="B342" s="9" t="n">
        <f aca="false">F341</f>
        <v>5555.55555555481</v>
      </c>
      <c r="C342" s="9" t="n">
        <f aca="false">E342+D342</f>
        <v>310.185185185181</v>
      </c>
      <c r="D342" s="9" t="n">
        <f aca="false">B342*Inputs!$C$8</f>
        <v>32.4074074074031</v>
      </c>
      <c r="E342" s="9" t="n">
        <f aca="false">Inputs!$C$5/Inputs!$C$9</f>
        <v>277.777777777778</v>
      </c>
      <c r="F342" s="9" t="n">
        <f aca="false">B342-E342</f>
        <v>5277.77777777704</v>
      </c>
    </row>
    <row r="343" customFormat="false" ht="15" hidden="false" customHeight="false" outlineLevel="0" collapsed="false">
      <c r="A343" s="0" t="n">
        <v>342</v>
      </c>
      <c r="B343" s="9" t="n">
        <f aca="false">F342</f>
        <v>5277.77777777704</v>
      </c>
      <c r="C343" s="9" t="n">
        <f aca="false">E343+D343</f>
        <v>308.56481481481</v>
      </c>
      <c r="D343" s="9" t="n">
        <f aca="false">B343*Inputs!$C$8</f>
        <v>30.7870370370327</v>
      </c>
      <c r="E343" s="9" t="n">
        <f aca="false">Inputs!$C$5/Inputs!$C$9</f>
        <v>277.777777777778</v>
      </c>
      <c r="F343" s="9" t="n">
        <f aca="false">B343-E343</f>
        <v>4999.99999999926</v>
      </c>
    </row>
    <row r="344" customFormat="false" ht="15" hidden="false" customHeight="false" outlineLevel="0" collapsed="false">
      <c r="A344" s="0" t="n">
        <v>343</v>
      </c>
      <c r="B344" s="9" t="n">
        <f aca="false">F343</f>
        <v>4999.99999999926</v>
      </c>
      <c r="C344" s="9" t="n">
        <f aca="false">E344+D344</f>
        <v>306.94444444444</v>
      </c>
      <c r="D344" s="9" t="n">
        <f aca="false">B344*Inputs!$C$8</f>
        <v>29.1666666666623</v>
      </c>
      <c r="E344" s="9" t="n">
        <f aca="false">Inputs!$C$5/Inputs!$C$9</f>
        <v>277.777777777778</v>
      </c>
      <c r="F344" s="9" t="n">
        <f aca="false">B344-E344</f>
        <v>4722.22222222148</v>
      </c>
    </row>
    <row r="345" customFormat="false" ht="15" hidden="false" customHeight="false" outlineLevel="0" collapsed="false">
      <c r="A345" s="0" t="n">
        <v>344</v>
      </c>
      <c r="B345" s="9" t="n">
        <f aca="false">F344</f>
        <v>4722.22222222148</v>
      </c>
      <c r="C345" s="9" t="n">
        <f aca="false">E345+D345</f>
        <v>305.32407407407</v>
      </c>
      <c r="D345" s="9" t="n">
        <f aca="false">B345*Inputs!$C$8</f>
        <v>27.546296296292</v>
      </c>
      <c r="E345" s="9" t="n">
        <f aca="false">Inputs!$C$5/Inputs!$C$9</f>
        <v>277.777777777778</v>
      </c>
      <c r="F345" s="9" t="n">
        <f aca="false">B345-E345</f>
        <v>4444.4444444437</v>
      </c>
    </row>
    <row r="346" customFormat="false" ht="15" hidden="false" customHeight="false" outlineLevel="0" collapsed="false">
      <c r="A346" s="0" t="n">
        <v>345</v>
      </c>
      <c r="B346" s="9" t="n">
        <f aca="false">F345</f>
        <v>4444.4444444437</v>
      </c>
      <c r="C346" s="9" t="n">
        <f aca="false">E346+D346</f>
        <v>303.703703703699</v>
      </c>
      <c r="D346" s="9" t="n">
        <f aca="false">B346*Inputs!$C$8</f>
        <v>25.9259259259216</v>
      </c>
      <c r="E346" s="9" t="n">
        <f aca="false">Inputs!$C$5/Inputs!$C$9</f>
        <v>277.777777777778</v>
      </c>
      <c r="F346" s="9" t="n">
        <f aca="false">B346-E346</f>
        <v>4166.66666666593</v>
      </c>
    </row>
    <row r="347" customFormat="false" ht="15" hidden="false" customHeight="false" outlineLevel="0" collapsed="false">
      <c r="A347" s="0" t="n">
        <v>346</v>
      </c>
      <c r="B347" s="9" t="n">
        <f aca="false">F346</f>
        <v>4166.66666666593</v>
      </c>
      <c r="C347" s="9" t="n">
        <f aca="false">E347+D347</f>
        <v>302.083333333329</v>
      </c>
      <c r="D347" s="9" t="n">
        <f aca="false">B347*Inputs!$C$8</f>
        <v>24.3055555555512</v>
      </c>
      <c r="E347" s="9" t="n">
        <f aca="false">Inputs!$C$5/Inputs!$C$9</f>
        <v>277.777777777778</v>
      </c>
      <c r="F347" s="9" t="n">
        <f aca="false">B347-E347</f>
        <v>3888.88888888815</v>
      </c>
    </row>
    <row r="348" customFormat="false" ht="15" hidden="false" customHeight="false" outlineLevel="0" collapsed="false">
      <c r="A348" s="0" t="n">
        <v>347</v>
      </c>
      <c r="B348" s="9" t="n">
        <f aca="false">F347</f>
        <v>3888.88888888815</v>
      </c>
      <c r="C348" s="9" t="n">
        <f aca="false">E348+D348</f>
        <v>300.462962962959</v>
      </c>
      <c r="D348" s="9" t="n">
        <f aca="false">B348*Inputs!$C$8</f>
        <v>22.6851851851809</v>
      </c>
      <c r="E348" s="9" t="n">
        <f aca="false">Inputs!$C$5/Inputs!$C$9</f>
        <v>277.777777777778</v>
      </c>
      <c r="F348" s="9" t="n">
        <f aca="false">B348-E348</f>
        <v>3611.11111111037</v>
      </c>
    </row>
    <row r="349" customFormat="false" ht="15" hidden="false" customHeight="false" outlineLevel="0" collapsed="false">
      <c r="A349" s="0" t="n">
        <v>348</v>
      </c>
      <c r="B349" s="9" t="n">
        <f aca="false">F348</f>
        <v>3611.11111111037</v>
      </c>
      <c r="C349" s="9" t="n">
        <f aca="false">E349+D349</f>
        <v>298.842592592588</v>
      </c>
      <c r="D349" s="9" t="n">
        <f aca="false">B349*Inputs!$C$8</f>
        <v>21.0648148148105</v>
      </c>
      <c r="E349" s="9" t="n">
        <f aca="false">Inputs!$C$5/Inputs!$C$9</f>
        <v>277.777777777778</v>
      </c>
      <c r="F349" s="9" t="n">
        <f aca="false">B349-E349</f>
        <v>3333.33333333259</v>
      </c>
    </row>
    <row r="350" customFormat="false" ht="15" hidden="false" customHeight="false" outlineLevel="0" collapsed="false">
      <c r="A350" s="0" t="n">
        <v>349</v>
      </c>
      <c r="B350" s="9" t="n">
        <f aca="false">F349</f>
        <v>3333.33333333259</v>
      </c>
      <c r="C350" s="9" t="n">
        <f aca="false">E350+D350</f>
        <v>297.222222222218</v>
      </c>
      <c r="D350" s="9" t="n">
        <f aca="false">B350*Inputs!$C$8</f>
        <v>19.4444444444401</v>
      </c>
      <c r="E350" s="9" t="n">
        <f aca="false">Inputs!$C$5/Inputs!$C$9</f>
        <v>277.777777777778</v>
      </c>
      <c r="F350" s="9" t="n">
        <f aca="false">B350-E350</f>
        <v>3055.55555555481</v>
      </c>
    </row>
    <row r="351" customFormat="false" ht="15" hidden="false" customHeight="false" outlineLevel="0" collapsed="false">
      <c r="A351" s="0" t="n">
        <v>350</v>
      </c>
      <c r="B351" s="9" t="n">
        <f aca="false">F350</f>
        <v>3055.55555555481</v>
      </c>
      <c r="C351" s="9" t="n">
        <f aca="false">E351+D351</f>
        <v>295.601851851848</v>
      </c>
      <c r="D351" s="9" t="n">
        <f aca="false">B351*Inputs!$C$8</f>
        <v>17.8240740740698</v>
      </c>
      <c r="E351" s="9" t="n">
        <f aca="false">Inputs!$C$5/Inputs!$C$9</f>
        <v>277.777777777778</v>
      </c>
      <c r="F351" s="9" t="n">
        <f aca="false">B351-E351</f>
        <v>2777.77777777704</v>
      </c>
    </row>
    <row r="352" customFormat="false" ht="15" hidden="false" customHeight="false" outlineLevel="0" collapsed="false">
      <c r="A352" s="0" t="n">
        <v>351</v>
      </c>
      <c r="B352" s="9" t="n">
        <f aca="false">F351</f>
        <v>2777.77777777704</v>
      </c>
      <c r="C352" s="9" t="n">
        <f aca="false">E352+D352</f>
        <v>293.981481481477</v>
      </c>
      <c r="D352" s="9" t="n">
        <f aca="false">B352*Inputs!$C$8</f>
        <v>16.2037037036994</v>
      </c>
      <c r="E352" s="9" t="n">
        <f aca="false">Inputs!$C$5/Inputs!$C$9</f>
        <v>277.777777777778</v>
      </c>
      <c r="F352" s="9" t="n">
        <f aca="false">B352-E352</f>
        <v>2499.99999999926</v>
      </c>
    </row>
    <row r="353" customFormat="false" ht="15" hidden="false" customHeight="false" outlineLevel="0" collapsed="false">
      <c r="A353" s="0" t="n">
        <v>352</v>
      </c>
      <c r="B353" s="9" t="n">
        <f aca="false">F352</f>
        <v>2499.99999999926</v>
      </c>
      <c r="C353" s="9" t="n">
        <f aca="false">E353+D353</f>
        <v>292.361111111107</v>
      </c>
      <c r="D353" s="9" t="n">
        <f aca="false">B353*Inputs!$C$8</f>
        <v>14.583333333329</v>
      </c>
      <c r="E353" s="9" t="n">
        <f aca="false">Inputs!$C$5/Inputs!$C$9</f>
        <v>277.777777777778</v>
      </c>
      <c r="F353" s="9" t="n">
        <f aca="false">B353-E353</f>
        <v>2222.22222222148</v>
      </c>
    </row>
    <row r="354" customFormat="false" ht="15" hidden="false" customHeight="false" outlineLevel="0" collapsed="false">
      <c r="A354" s="0" t="n">
        <v>353</v>
      </c>
      <c r="B354" s="9" t="n">
        <f aca="false">F353</f>
        <v>2222.22222222148</v>
      </c>
      <c r="C354" s="9" t="n">
        <f aca="false">E354+D354</f>
        <v>290.740740740736</v>
      </c>
      <c r="D354" s="9" t="n">
        <f aca="false">B354*Inputs!$C$8</f>
        <v>12.9629629629586</v>
      </c>
      <c r="E354" s="9" t="n">
        <f aca="false">Inputs!$C$5/Inputs!$C$9</f>
        <v>277.777777777778</v>
      </c>
      <c r="F354" s="9" t="n">
        <f aca="false">B354-E354</f>
        <v>1944.4444444437</v>
      </c>
    </row>
    <row r="355" customFormat="false" ht="15" hidden="false" customHeight="false" outlineLevel="0" collapsed="false">
      <c r="A355" s="0" t="n">
        <v>354</v>
      </c>
      <c r="B355" s="9" t="n">
        <f aca="false">F354</f>
        <v>1944.4444444437</v>
      </c>
      <c r="C355" s="9" t="n">
        <f aca="false">E355+D355</f>
        <v>289.120370370366</v>
      </c>
      <c r="D355" s="9" t="n">
        <f aca="false">B355*Inputs!$C$8</f>
        <v>11.3425925925883</v>
      </c>
      <c r="E355" s="9" t="n">
        <f aca="false">Inputs!$C$5/Inputs!$C$9</f>
        <v>277.777777777778</v>
      </c>
      <c r="F355" s="9" t="n">
        <f aca="false">B355-E355</f>
        <v>1666.66666666593</v>
      </c>
    </row>
    <row r="356" customFormat="false" ht="15" hidden="false" customHeight="false" outlineLevel="0" collapsed="false">
      <c r="A356" s="0" t="n">
        <v>355</v>
      </c>
      <c r="B356" s="9" t="n">
        <f aca="false">F355</f>
        <v>1666.66666666593</v>
      </c>
      <c r="C356" s="9" t="n">
        <f aca="false">E356+D356</f>
        <v>287.499999999996</v>
      </c>
      <c r="D356" s="9" t="n">
        <f aca="false">B356*Inputs!$C$8</f>
        <v>9.7222222222179</v>
      </c>
      <c r="E356" s="9" t="n">
        <f aca="false">Inputs!$C$5/Inputs!$C$9</f>
        <v>277.777777777778</v>
      </c>
      <c r="F356" s="9" t="n">
        <f aca="false">B356-E356</f>
        <v>1388.88888888815</v>
      </c>
    </row>
    <row r="357" customFormat="false" ht="15" hidden="false" customHeight="false" outlineLevel="0" collapsed="false">
      <c r="A357" s="0" t="n">
        <v>356</v>
      </c>
      <c r="B357" s="9" t="n">
        <f aca="false">F356</f>
        <v>1388.88888888815</v>
      </c>
      <c r="C357" s="9" t="n">
        <f aca="false">E357+D357</f>
        <v>285.879629629625</v>
      </c>
      <c r="D357" s="9" t="n">
        <f aca="false">B357*Inputs!$C$8</f>
        <v>8.10185185184753</v>
      </c>
      <c r="E357" s="9" t="n">
        <f aca="false">Inputs!$C$5/Inputs!$C$9</f>
        <v>277.777777777778</v>
      </c>
      <c r="F357" s="9" t="n">
        <f aca="false">B357-E357</f>
        <v>1111.11111111037</v>
      </c>
    </row>
    <row r="358" customFormat="false" ht="15" hidden="false" customHeight="false" outlineLevel="0" collapsed="false">
      <c r="A358" s="0" t="n">
        <v>357</v>
      </c>
      <c r="B358" s="9" t="n">
        <f aca="false">F357</f>
        <v>1111.11111111037</v>
      </c>
      <c r="C358" s="9" t="n">
        <f aca="false">E358+D358</f>
        <v>284.259259259255</v>
      </c>
      <c r="D358" s="9" t="n">
        <f aca="false">B358*Inputs!$C$8</f>
        <v>6.48148148147716</v>
      </c>
      <c r="E358" s="9" t="n">
        <f aca="false">Inputs!$C$5/Inputs!$C$9</f>
        <v>277.777777777778</v>
      </c>
      <c r="F358" s="9" t="n">
        <f aca="false">B358-E358</f>
        <v>833.333333332592</v>
      </c>
    </row>
    <row r="359" customFormat="false" ht="15" hidden="false" customHeight="false" outlineLevel="0" collapsed="false">
      <c r="A359" s="0" t="n">
        <v>358</v>
      </c>
      <c r="B359" s="9" t="n">
        <f aca="false">F358</f>
        <v>833.333333332592</v>
      </c>
      <c r="C359" s="9" t="n">
        <f aca="false">E359+D359</f>
        <v>282.638888888885</v>
      </c>
      <c r="D359" s="9" t="n">
        <f aca="false">B359*Inputs!$C$8</f>
        <v>4.86111111110679</v>
      </c>
      <c r="E359" s="9" t="n">
        <f aca="false">Inputs!$C$5/Inputs!$C$9</f>
        <v>277.777777777778</v>
      </c>
      <c r="F359" s="9" t="n">
        <f aca="false">B359-E359</f>
        <v>555.555555554814</v>
      </c>
    </row>
    <row r="360" customFormat="false" ht="15" hidden="false" customHeight="false" outlineLevel="0" collapsed="false">
      <c r="A360" s="0" t="n">
        <v>359</v>
      </c>
      <c r="B360" s="9" t="n">
        <f aca="false">F359</f>
        <v>555.555555554814</v>
      </c>
      <c r="C360" s="9" t="n">
        <f aca="false">E360+D360</f>
        <v>281.018518518514</v>
      </c>
      <c r="D360" s="9" t="n">
        <f aca="false">B360*Inputs!$C$8</f>
        <v>3.24074074073642</v>
      </c>
      <c r="E360" s="9" t="n">
        <f aca="false">Inputs!$C$5/Inputs!$C$9</f>
        <v>277.777777777778</v>
      </c>
      <c r="F360" s="9" t="n">
        <f aca="false">B360-E360</f>
        <v>277.777777777036</v>
      </c>
    </row>
    <row r="361" customFormat="false" ht="15" hidden="false" customHeight="false" outlineLevel="0" collapsed="false">
      <c r="A361" s="0" t="n">
        <v>360</v>
      </c>
      <c r="B361" s="9" t="n">
        <f aca="false">F360</f>
        <v>277.777777777036</v>
      </c>
      <c r="C361" s="9" t="n">
        <f aca="false">E361+D361</f>
        <v>279.398148148144</v>
      </c>
      <c r="D361" s="9" t="n">
        <f aca="false">B361*Inputs!$C$8</f>
        <v>1.62037037036604</v>
      </c>
      <c r="E361" s="9" t="n">
        <f aca="false">Inputs!$C$5/Inputs!$C$9</f>
        <v>277.777777777778</v>
      </c>
      <c r="F361" s="9" t="n">
        <f aca="false">B361-E361</f>
        <v>-7.41579242458101E-010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2026-06-30T11:06:30Z</dcterms:created>
  <dc:creator>openpyxl</dc:creator>
  <dc:description/>
  <dc:language>en-US</dc:language>
  <cp:lastModifiedBy/>
  <dcterms:modified xsi:type="dcterms:W3CDTF">2026-06-30T11:06:30Z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